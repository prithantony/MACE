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th\Documents\AI_Projects\MACE\"/>
    </mc:Choice>
  </mc:AlternateContent>
  <xr:revisionPtr revIDLastSave="0" documentId="13_ncr:1_{41945894-7A76-497B-9C23-737716E41114}" xr6:coauthVersionLast="47" xr6:coauthVersionMax="47" xr10:uidLastSave="{00000000-0000-0000-0000-000000000000}"/>
  <bookViews>
    <workbookView xWindow="-110" yWindow="-110" windowWidth="19420" windowHeight="10300" firstSheet="8" activeTab="9" xr2:uid="{00000000-000D-0000-FFFF-FFFF00000000}"/>
  </bookViews>
  <sheets>
    <sheet name="README" sheetId="1" r:id="rId1"/>
    <sheet name="Import_Control" sheetId="2" state="hidden" r:id="rId2"/>
    <sheet name="Setup_Lists" sheetId="3" state="hidden" r:id="rId3"/>
    <sheet name="Roles_Permissions" sheetId="4" state="hidden" r:id="rId4"/>
    <sheet name="Users_Staff" sheetId="5" r:id="rId5"/>
    <sheet name="Departments_Programmes" sheetId="6" r:id="rId6"/>
    <sheet name="Courses_Subjects" sheetId="7" r:id="rId7"/>
    <sheet name="Students_Core" sheetId="8" r:id="rId8"/>
    <sheet name="Admissions" sheetId="9" r:id="rId9"/>
    <sheet name="Enrolments" sheetId="10" r:id="rId10"/>
    <sheet name="Fee_Structure" sheetId="11" r:id="rId11"/>
    <sheet name="Payments_Receipts" sheetId="12" r:id="rId12"/>
    <sheet name="Fee_Defaulters_LMS_Access" sheetId="13" r:id="rId13"/>
    <sheet name="LMS_Courses_Materials" sheetId="14" r:id="rId14"/>
    <sheet name="LMS_Assignments" sheetId="15" r:id="rId15"/>
    <sheet name="Online_Exam_Question_Bank" sheetId="16" r:id="rId16"/>
    <sheet name="Exam_Schedule" sheetId="17" r:id="rId17"/>
    <sheet name="Results_Grades" sheetId="18" r:id="rId18"/>
    <sheet name="Attendance" sheetId="19" r:id="rId19"/>
    <sheet name="Library_Books_Loans" sheetId="20" r:id="rId20"/>
    <sheet name="Timetable" sheetId="21" r:id="rId21"/>
    <sheet name="Notices_Notifications" sheetId="22" r:id="rId22"/>
    <sheet name="Documents_Certificates" sheetId="23" r:id="rId23"/>
    <sheet name="HEA_Compliance_Checklist" sheetId="24" state="hidden" r:id="rId24"/>
    <sheet name="Dashboard_Summary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5" l="1"/>
  <c r="B7" i="25"/>
  <c r="B6" i="25"/>
  <c r="B5" i="25"/>
</calcChain>
</file>

<file path=xl/sharedStrings.xml><?xml version="1.0" encoding="utf-8"?>
<sst xmlns="http://schemas.openxmlformats.org/spreadsheetml/2006/main" count="998" uniqueCount="637">
  <si>
    <t>Makeni College Master Import Workbook</t>
  </si>
  <si>
    <t>Data preparation template for the integrated Student Management System, LMS, Online Exams, Accounts, Library and HEA reporting.</t>
  </si>
  <si>
    <t>Section</t>
  </si>
  <si>
    <t>Instruction</t>
  </si>
  <si>
    <t>Owner</t>
  </si>
  <si>
    <t>Frequency</t>
  </si>
  <si>
    <t>Validation Rule</t>
  </si>
  <si>
    <t>System Action</t>
  </si>
  <si>
    <t>Core principle</t>
  </si>
  <si>
    <t>Student_ID is the master key used across SMS, LMS, Exams, Accounts, Library and HEA reporting.</t>
  </si>
  <si>
    <t>Super Admin</t>
  </si>
  <si>
    <t>Always</t>
  </si>
  <si>
    <t>Do not duplicate student records</t>
  </si>
  <si>
    <t>All modules connect to one student profile</t>
  </si>
  <si>
    <t>Bulk upload flow</t>
  </si>
  <si>
    <t>Upload Excel template, preview validation errors, confirm import, then system writes approved rows.</t>
  </si>
  <si>
    <t>Module Admin</t>
  </si>
  <si>
    <t>As needed</t>
  </si>
  <si>
    <t>Mandatory fields must be complete</t>
  </si>
  <si>
    <t>Accepted rows imported, rejected rows returned with error reason</t>
  </si>
  <si>
    <t>LMS fee control</t>
  </si>
  <si>
    <t>Fee defaulters can still log in to the portal, but LMS content is blocked when LMS_Access_Status is Blocked.</t>
  </si>
  <si>
    <t>Accounts/Admin</t>
  </si>
  <si>
    <t>Daily/Weekly</t>
  </si>
  <si>
    <t>Student_ID must exist in Students_Core</t>
  </si>
  <si>
    <t>Popup: Kindly contact the admin for LMS Access</t>
  </si>
  <si>
    <t>Import Control and Upload Register</t>
  </si>
  <si>
    <t>Tracks every bulk Excel upload done by admin users.</t>
  </si>
  <si>
    <t>Upload_ID</t>
  </si>
  <si>
    <t>Module</t>
  </si>
  <si>
    <t>Template_Sheet</t>
  </si>
  <si>
    <t>Uploaded_By</t>
  </si>
  <si>
    <t>Upload_Date</t>
  </si>
  <si>
    <t>Records_Submitted</t>
  </si>
  <si>
    <t>Records_Accepted</t>
  </si>
  <si>
    <t>Records_Rejected</t>
  </si>
  <si>
    <t>Approval_Status</t>
  </si>
  <si>
    <t>Remarks</t>
  </si>
  <si>
    <t>UPL-001</t>
  </si>
  <si>
    <t>Students</t>
  </si>
  <si>
    <t>Students_Core</t>
  </si>
  <si>
    <t>admin@makenicollege.org</t>
  </si>
  <si>
    <t>2026-05-01</t>
  </si>
  <si>
    <t>Approved</t>
  </si>
  <si>
    <t>Two missing NRC numbers returned for correction</t>
  </si>
  <si>
    <t>UPL-002</t>
  </si>
  <si>
    <t>Fees Defaulters</t>
  </si>
  <si>
    <t>Fee_Defaulters_LMS_Access</t>
  </si>
  <si>
    <t>accounts@makenicollege.org</t>
  </si>
  <si>
    <t>2026-05-05</t>
  </si>
  <si>
    <t>LMS restrictions applied immediately</t>
  </si>
  <si>
    <t>UPL-003</t>
  </si>
  <si>
    <t>Exam Questions</t>
  </si>
  <si>
    <t>Online_Exam_Question_Bank</t>
  </si>
  <si>
    <t>examoffice@makenicollege.org</t>
  </si>
  <si>
    <t>2026-05-08</t>
  </si>
  <si>
    <t>Pending Review</t>
  </si>
  <si>
    <t>Three questions missing correct answers</t>
  </si>
  <si>
    <t>Institution Setup Lists</t>
  </si>
  <si>
    <t>Base dropdown values used across the system to keep imports consistent.</t>
  </si>
  <si>
    <t>List_Type</t>
  </si>
  <si>
    <t>Code</t>
  </si>
  <si>
    <t>Display_Name</t>
  </si>
  <si>
    <t>Parent_Code</t>
  </si>
  <si>
    <t>Status</t>
  </si>
  <si>
    <t>Notes</t>
  </si>
  <si>
    <t>Academic_Year</t>
  </si>
  <si>
    <t>AY2026</t>
  </si>
  <si>
    <t>2026 Academic Year</t>
  </si>
  <si>
    <t>Active</t>
  </si>
  <si>
    <t>Default academic year</t>
  </si>
  <si>
    <t>Semester</t>
  </si>
  <si>
    <t>SEM1</t>
  </si>
  <si>
    <t>Semester 1</t>
  </si>
  <si>
    <t>First semester</t>
  </si>
  <si>
    <t>LMS_Access_Status</t>
  </si>
  <si>
    <t>BLOCKED</t>
  </si>
  <si>
    <t>Blocked</t>
  </si>
  <si>
    <t>Blocks LMS content access only</t>
  </si>
  <si>
    <t>Roles and Permission Matrix</t>
  </si>
  <si>
    <t>Defines system roles and the modules each role can access.</t>
  </si>
  <si>
    <t>Role_Code</t>
  </si>
  <si>
    <t>Role_Name</t>
  </si>
  <si>
    <t>Website_CMS</t>
  </si>
  <si>
    <t>Student_SMS</t>
  </si>
  <si>
    <t>Accounts</t>
  </si>
  <si>
    <t>LMS</t>
  </si>
  <si>
    <t>Online_Exams</t>
  </si>
  <si>
    <t>Library</t>
  </si>
  <si>
    <t>Reports</t>
  </si>
  <si>
    <t>User_Management</t>
  </si>
  <si>
    <t>SUPER_ADMIN</t>
  </si>
  <si>
    <t>Full</t>
  </si>
  <si>
    <t>ACCOUNTS</t>
  </si>
  <si>
    <t>Accounts Officer</t>
  </si>
  <si>
    <t>None</t>
  </si>
  <si>
    <t>View</t>
  </si>
  <si>
    <t>Access Control</t>
  </si>
  <si>
    <t>Finance Reports</t>
  </si>
  <si>
    <t>LECTURER</t>
  </si>
  <si>
    <t>Lecturer</t>
  </si>
  <si>
    <t>Course Students</t>
  </si>
  <si>
    <t>Full Assigned Courses</t>
  </si>
  <si>
    <t>Create/Mark Assigned</t>
  </si>
  <si>
    <t>Academic Reports</t>
  </si>
  <si>
    <t>Users and Staff Master</t>
  </si>
  <si>
    <t>Creates user accounts for staff and non-student system users.</t>
  </si>
  <si>
    <t>User_ID</t>
  </si>
  <si>
    <t>Staff_ID</t>
  </si>
  <si>
    <t>Full_Name</t>
  </si>
  <si>
    <t>Email</t>
  </si>
  <si>
    <t>Phone</t>
  </si>
  <si>
    <t>Department_Code</t>
  </si>
  <si>
    <t>Employment_Type</t>
  </si>
  <si>
    <t>Account_Status</t>
  </si>
  <si>
    <t>Temporary_Password</t>
  </si>
  <si>
    <t>Force_Reset</t>
  </si>
  <si>
    <t>USR-001</t>
  </si>
  <si>
    <t>STF-001</t>
  </si>
  <si>
    <t>Mary Phiri</t>
  </si>
  <si>
    <t>mary.phiri@makenicollege.org</t>
  </si>
  <si>
    <t>+260 962 974 898</t>
  </si>
  <si>
    <t>ADMIN</t>
  </si>
  <si>
    <t>Full Time</t>
  </si>
  <si>
    <t>Temp@2026</t>
  </si>
  <si>
    <t>USR-002</t>
  </si>
  <si>
    <t>STF-002</t>
  </si>
  <si>
    <t>John Banda</t>
  </si>
  <si>
    <t>john.banda@makenicollege.org</t>
  </si>
  <si>
    <t>+260 977 111 222</t>
  </si>
  <si>
    <t>EDU</t>
  </si>
  <si>
    <t>USR-003</t>
  </si>
  <si>
    <t>STF-003</t>
  </si>
  <si>
    <t>Ruth Mwansa</t>
  </si>
  <si>
    <t>ruth.mwansa@makenicollege.org</t>
  </si>
  <si>
    <t>+260 955 333 444</t>
  </si>
  <si>
    <t>FIN</t>
  </si>
  <si>
    <t>Departments and Programmes</t>
  </si>
  <si>
    <t>Defines academic departments and programmes used for admissions, SMS, LMS and HEA reports.</t>
  </si>
  <si>
    <t>Department_Name</t>
  </si>
  <si>
    <t>Programme_Code</t>
  </si>
  <si>
    <t>Programme_Name</t>
  </si>
  <si>
    <t>Programme_Level</t>
  </si>
  <si>
    <t>Duration_Years</t>
  </si>
  <si>
    <t>Mode</t>
  </si>
  <si>
    <t>HEA_Approved</t>
  </si>
  <si>
    <t>Capacity</t>
  </si>
  <si>
    <t>Education</t>
  </si>
  <si>
    <t>DPE</t>
  </si>
  <si>
    <t>Diploma in Primary Education</t>
  </si>
  <si>
    <t>DIP</t>
  </si>
  <si>
    <t>Yes</t>
  </si>
  <si>
    <t>ICT</t>
  </si>
  <si>
    <t>DIT</t>
  </si>
  <si>
    <t>Diploma in Information Technology</t>
  </si>
  <si>
    <t>BUS</t>
  </si>
  <si>
    <t>Business</t>
  </si>
  <si>
    <t>DBA</t>
  </si>
  <si>
    <t>Diploma in Business Administration</t>
  </si>
  <si>
    <t>Distance</t>
  </si>
  <si>
    <t>Pending</t>
  </si>
  <si>
    <t>Draft</t>
  </si>
  <si>
    <t>Courses and Subjects Master</t>
  </si>
  <si>
    <t>Course catalogue linked to programme, semester, LMS, exams and results.</t>
  </si>
  <si>
    <t>Course_Code</t>
  </si>
  <si>
    <t>Course_Title</t>
  </si>
  <si>
    <t>Year_Of_Study</t>
  </si>
  <si>
    <t>Semester_Code</t>
  </si>
  <si>
    <t>Credit_Hours</t>
  </si>
  <si>
    <t>Lecturer_User_ID</t>
  </si>
  <si>
    <t>LMS_Enabled</t>
  </si>
  <si>
    <t>Exam_Enabled</t>
  </si>
  <si>
    <t>EDU101</t>
  </si>
  <si>
    <t>Foundations of Education</t>
  </si>
  <si>
    <t>ICT101</t>
  </si>
  <si>
    <t>Computer Applications</t>
  </si>
  <si>
    <t>BUS101</t>
  </si>
  <si>
    <t>Principles of Management</t>
  </si>
  <si>
    <t>Students Core Master</t>
  </si>
  <si>
    <t>Main student profile sheet. This is the base sheet used by all modules.</t>
  </si>
  <si>
    <t>Student_ID</t>
  </si>
  <si>
    <t>Admission_No</t>
  </si>
  <si>
    <t>Gender</t>
  </si>
  <si>
    <t>Date_Of_Birth</t>
  </si>
  <si>
    <t>NRC_or_Passport</t>
  </si>
  <si>
    <t>Guardian_Name</t>
  </si>
  <si>
    <t>Guardian_Phone</t>
  </si>
  <si>
    <t>Address</t>
  </si>
  <si>
    <t>Admission_Status</t>
  </si>
  <si>
    <t>Student_Status</t>
  </si>
  <si>
    <t>HEA_Student_Category</t>
  </si>
  <si>
    <t>MCE-2026-001</t>
  </si>
  <si>
    <t>ADM-001</t>
  </si>
  <si>
    <t>Grace Chanda</t>
  </si>
  <si>
    <t>Female</t>
  </si>
  <si>
    <t>2005-03-14</t>
  </si>
  <si>
    <t>123456/78/9</t>
  </si>
  <si>
    <t>grace.chanda@example.com</t>
  </si>
  <si>
    <t>+260 977 100 001</t>
  </si>
  <si>
    <t>Peter Chanda</t>
  </si>
  <si>
    <t>+260 977 200 001</t>
  </si>
  <si>
    <t>Makeni, Lusaka</t>
  </si>
  <si>
    <t>Admitted</t>
  </si>
  <si>
    <t>Local</t>
  </si>
  <si>
    <t>MCE-2026-002</t>
  </si>
  <si>
    <t>ADM-002</t>
  </si>
  <si>
    <t>Brian Mwila</t>
  </si>
  <si>
    <t>Male</t>
  </si>
  <si>
    <t>2004-09-22</t>
  </si>
  <si>
    <t>987654/32/1</t>
  </si>
  <si>
    <t>brian.mwila@example.com</t>
  </si>
  <si>
    <t>+260 966 100 002</t>
  </si>
  <si>
    <t>Agnes Mwila</t>
  </si>
  <si>
    <t>+260 966 200 002</t>
  </si>
  <si>
    <t>Kanyama, Lusaka</t>
  </si>
  <si>
    <t>Registered</t>
  </si>
  <si>
    <t>MCE-2026-003</t>
  </si>
  <si>
    <t>ADM-003</t>
  </si>
  <si>
    <t>Faith Tembo</t>
  </si>
  <si>
    <t>2003-11-05</t>
  </si>
  <si>
    <t>445566/77/8</t>
  </si>
  <si>
    <t>faith.tembo@example.com</t>
  </si>
  <si>
    <t>+260 955 100 003</t>
  </si>
  <si>
    <t>Moses Tembo</t>
  </si>
  <si>
    <t>+260 955 200 003</t>
  </si>
  <si>
    <t>Chawama, Lusaka</t>
  </si>
  <si>
    <t>Pending Documents</t>
  </si>
  <si>
    <t>Provisional</t>
  </si>
  <si>
    <t>Admissions Applications</t>
  </si>
  <si>
    <t>Captures online applications before they are converted to active students.</t>
  </si>
  <si>
    <t>Application_ID</t>
  </si>
  <si>
    <t>Applicant_Name</t>
  </si>
  <si>
    <t>Application_Date</t>
  </si>
  <si>
    <t>Application_Fee_Status</t>
  </si>
  <si>
    <t>Document_Status</t>
  </si>
  <si>
    <t>Review_Status</t>
  </si>
  <si>
    <t>Decision</t>
  </si>
  <si>
    <t>Converted_Student_ID</t>
  </si>
  <si>
    <t>APP-001</t>
  </si>
  <si>
    <t>2026-04-10</t>
  </si>
  <si>
    <t>Paid</t>
  </si>
  <si>
    <t>Complete</t>
  </si>
  <si>
    <t>Reviewed</t>
  </si>
  <si>
    <t>Accepted</t>
  </si>
  <si>
    <t>APP-002</t>
  </si>
  <si>
    <t>2026-04-12</t>
  </si>
  <si>
    <t>APP-003</t>
  </si>
  <si>
    <t>2026-04-15</t>
  </si>
  <si>
    <t>Missing NRC Copy</t>
  </si>
  <si>
    <t>Hold</t>
  </si>
  <si>
    <t>Semester Enrolments</t>
  </si>
  <si>
    <t>Links active students to academic year, semester and courses.</t>
  </si>
  <si>
    <t>Enrollment_ID</t>
  </si>
  <si>
    <t>Enrollment_Status</t>
  </si>
  <si>
    <t>Enrolled_Date</t>
  </si>
  <si>
    <t>ENR-001</t>
  </si>
  <si>
    <t>Enrolled</t>
  </si>
  <si>
    <t>Normal registration</t>
  </si>
  <si>
    <t>ENR-002</t>
  </si>
  <si>
    <t>ENR-003</t>
  </si>
  <si>
    <t>2026-05-02</t>
  </si>
  <si>
    <t>Awaiting documents</t>
  </si>
  <si>
    <t>Fee Structure</t>
  </si>
  <si>
    <t>Programme and semester based fee setup used by Accounts.</t>
  </si>
  <si>
    <t>Fee_Code</t>
  </si>
  <si>
    <t>Fee_Item</t>
  </si>
  <si>
    <t>Amount_ZMW</t>
  </si>
  <si>
    <t>Mandatory</t>
  </si>
  <si>
    <t>Due_Date</t>
  </si>
  <si>
    <t>FEE-DPE-S1</t>
  </si>
  <si>
    <t>Tuition Fee</t>
  </si>
  <si>
    <t>2026-06-30</t>
  </si>
  <si>
    <t>Semester 1 tuition</t>
  </si>
  <si>
    <t>FEE-DIT-S1</t>
  </si>
  <si>
    <t>FEE-DBA-S1</t>
  </si>
  <si>
    <t>Payments and Receipts</t>
  </si>
  <si>
    <t>Records student payments, receipt numbers and account balances.</t>
  </si>
  <si>
    <t>Payment_ID</t>
  </si>
  <si>
    <t>Invoice_No</t>
  </si>
  <si>
    <t>Amount_Due_ZMW</t>
  </si>
  <si>
    <t>Amount_Paid_ZMW</t>
  </si>
  <si>
    <t>Balance_ZMW</t>
  </si>
  <si>
    <t>Payment_Date</t>
  </si>
  <si>
    <t>Payment_Method</t>
  </si>
  <si>
    <t>Receipt_No</t>
  </si>
  <si>
    <t>Payment_Status</t>
  </si>
  <si>
    <t>PAY-001</t>
  </si>
  <si>
    <t>INV-001</t>
  </si>
  <si>
    <t>2026-05-04</t>
  </si>
  <si>
    <t>Cash</t>
  </si>
  <si>
    <t>RCT-001</t>
  </si>
  <si>
    <t>PAY-002</t>
  </si>
  <si>
    <t>INV-002</t>
  </si>
  <si>
    <t>Mobile Money</t>
  </si>
  <si>
    <t>RCT-002</t>
  </si>
  <si>
    <t>Part Payment</t>
  </si>
  <si>
    <t>PAY-003</t>
  </si>
  <si>
    <t>INV-003</t>
  </si>
  <si>
    <t>Unpaid</t>
  </si>
  <si>
    <t>Fee Defaulters and LMS Access Control</t>
  </si>
  <si>
    <t>Bulk upload sheet used by Accounts to restrict LMS content access for students with unpaid balances.</t>
  </si>
  <si>
    <t>Important: this controls LMS content access, not general student portal login. Students can log in and see the message.</t>
  </si>
  <si>
    <t>Control_ID</t>
  </si>
  <si>
    <t>Outstanding_Balance_ZMW</t>
  </si>
  <si>
    <t>Defaulter_Status</t>
  </si>
  <si>
    <t>Portal_Login_Allowed</t>
  </si>
  <si>
    <t>Popup_Message</t>
  </si>
  <si>
    <t>Effective_Date</t>
  </si>
  <si>
    <t>Resolved_Date</t>
  </si>
  <si>
    <t>Updated_By</t>
  </si>
  <si>
    <t>CTRL-001</t>
  </si>
  <si>
    <t>Cleared</t>
  </si>
  <si>
    <t>Allowed</t>
  </si>
  <si>
    <t>CTRL-002</t>
  </si>
  <si>
    <t>Part Defaulter</t>
  </si>
  <si>
    <t>Kindly contact the admin for LMS Access</t>
  </si>
  <si>
    <t>CTRL-003</t>
  </si>
  <si>
    <t>Full Defaulter</t>
  </si>
  <si>
    <t>LMS Courses and Materials</t>
  </si>
  <si>
    <t>Uploads LMS course structure and learning resources.</t>
  </si>
  <si>
    <t>LMS_Item_ID</t>
  </si>
  <si>
    <t>Module_Title</t>
  </si>
  <si>
    <t>Material_Type</t>
  </si>
  <si>
    <t>Material_Title</t>
  </si>
  <si>
    <t>Material_URL_or_File</t>
  </si>
  <si>
    <t>Available_From</t>
  </si>
  <si>
    <t>Available_To</t>
  </si>
  <si>
    <t>Visible_To_Students</t>
  </si>
  <si>
    <t>LMS-001</t>
  </si>
  <si>
    <t>Introduction</t>
  </si>
  <si>
    <t>PDF</t>
  </si>
  <si>
    <t>Course Outline</t>
  </si>
  <si>
    <t>/uploads/lms/edu101-outline.pdf</t>
  </si>
  <si>
    <t>2026-12-15</t>
  </si>
  <si>
    <t>LMS-002</t>
  </si>
  <si>
    <t>Week 1</t>
  </si>
  <si>
    <t>Video</t>
  </si>
  <si>
    <t>Computer Basics</t>
  </si>
  <si>
    <t>/uploads/lms/ict101-video1.mp4</t>
  </si>
  <si>
    <t>LMS-003</t>
  </si>
  <si>
    <t>Unit 1</t>
  </si>
  <si>
    <t>Assignment</t>
  </si>
  <si>
    <t>Management Reflection</t>
  </si>
  <si>
    <t>/uploads/lms/bus101-assignment.pdf</t>
  </si>
  <si>
    <t>2026-06-01</t>
  </si>
  <si>
    <t>No</t>
  </si>
  <si>
    <t>LMS Assignments</t>
  </si>
  <si>
    <t>Defines assignments, due dates and grading settings.</t>
  </si>
  <si>
    <t>Assignment_ID</t>
  </si>
  <si>
    <t>Assignment_Title</t>
  </si>
  <si>
    <t>Instructions</t>
  </si>
  <si>
    <t>Open_Date</t>
  </si>
  <si>
    <t>Max_Marks</t>
  </si>
  <si>
    <t>Submission_Type</t>
  </si>
  <si>
    <t>Late_Submission_Allowed</t>
  </si>
  <si>
    <t>ASN-001</t>
  </si>
  <si>
    <t>Education Philosophy Essay</t>
  </si>
  <si>
    <t>Upload a 1,000 word essay.</t>
  </si>
  <si>
    <t>2026-05-10</t>
  </si>
  <si>
    <t>2026-05-30</t>
  </si>
  <si>
    <t>File Upload</t>
  </si>
  <si>
    <t>Published</t>
  </si>
  <si>
    <t>ASN-002</t>
  </si>
  <si>
    <t>Computer Lab Task</t>
  </si>
  <si>
    <t>Complete the worksheet and upload screenshot.</t>
  </si>
  <si>
    <t>2026-05-11</t>
  </si>
  <si>
    <t>2026-05-25</t>
  </si>
  <si>
    <t>ASN-003</t>
  </si>
  <si>
    <t>Management Case Study</t>
  </si>
  <si>
    <t>Answer the case questions.</t>
  </si>
  <si>
    <t>2026-05-12</t>
  </si>
  <si>
    <t>2026-06-02</t>
  </si>
  <si>
    <t>Text + File</t>
  </si>
  <si>
    <t>Online Exam Question Bank</t>
  </si>
  <si>
    <t>Bulk upload questions for quizzes, tests and exams.</t>
  </si>
  <si>
    <t>Question_ID</t>
  </si>
  <si>
    <t>Exam_Type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</si>
  <si>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</si>
  <si>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</si>
  <si>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</si>
  <si>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</si>
  <si>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</si>
  <si>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</si>
  <si>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</si>
  <si>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Marks</t>
  </si>
  <si>
    <t>Difficulty</t>
  </si>
  <si>
    <t>Q-001</t>
  </si>
  <si>
    <t>Quiz</t>
  </si>
  <si>
    <t>MCQ</t>
  </si>
  <si>
    <t>What is the main purpose of education?</t>
  </si>
  <si>
    <t>Knowledge transfer</t>
  </si>
  <si>
    <t>Punishment</t>
  </si>
  <si>
    <t>Isolation</t>
  </si>
  <si>
    <t>Guessing</t>
  </si>
  <si>
    <t>A</t>
  </si>
  <si>
    <t>Easy</t>
  </si>
  <si>
    <t>Q-002</t>
  </si>
  <si>
    <t>Test</t>
  </si>
  <si>
    <t>What does CPU stand for?</t>
  </si>
  <si>
    <t>Central Processing Unit</t>
  </si>
  <si>
    <t>Computer Power Unit</t>
  </si>
  <si>
    <t>Control Print Unit</t>
  </si>
  <si>
    <t>Central Program User</t>
  </si>
  <si>
    <t>Q-003</t>
  </si>
  <si>
    <t>Exam</t>
  </si>
  <si>
    <t>Essay</t>
  </si>
  <si>
    <t>Explain three functions of management.</t>
  </si>
  <si>
    <t>Manual Marking</t>
  </si>
  <si>
    <t>Medium</t>
  </si>
  <si>
    <t>Online Exam Schedule</t>
  </si>
  <si>
    <t>Schedules exams and controls student access windows.</t>
  </si>
  <si>
    <t>Exam_ID</t>
  </si>
  <si>
    <t>Exam_Title</t>
  </si>
  <si>
    <t>Start_DateTime</t>
  </si>
  <si>
    <t>End_DateTime</t>
  </si>
  <si>
    <t>Duration_Minutes</t>
  </si>
  <si>
    <t>Attempts_Allowed</t>
  </si>
  <si>
    <t>Access_Status</t>
  </si>
  <si>
    <t>EXM-001</t>
  </si>
  <si>
    <t>EDU101 Quiz 1</t>
  </si>
  <si>
    <t>2026-06-01 09:00</t>
  </si>
  <si>
    <t>2026-06-01 10:00</t>
  </si>
  <si>
    <t>Open</t>
  </si>
  <si>
    <t>EXM-002</t>
  </si>
  <si>
    <t>ICT101 Test 1</t>
  </si>
  <si>
    <t>2026-06-02 09:00</t>
  </si>
  <si>
    <t>2026-06-02 10:30</t>
  </si>
  <si>
    <t>Scheduled</t>
  </si>
  <si>
    <t>EXM-003</t>
  </si>
  <si>
    <t>BUS101 Final Exam</t>
  </si>
  <si>
    <t>2026-07-20 09:00</t>
  </si>
  <si>
    <t>2026-07-20 11:00</t>
  </si>
  <si>
    <t>Results and Grade Records</t>
  </si>
  <si>
    <t>Stores coursework, exam marks, final marks and approval status.</t>
  </si>
  <si>
    <t>Result_ID</t>
  </si>
  <si>
    <t>Coursework_Mark</t>
  </si>
  <si>
    <t>Exam_Mark</t>
  </si>
  <si>
    <t>Final_Mark</t>
  </si>
  <si>
    <t>Grade</t>
  </si>
  <si>
    <t>Result_Status</t>
  </si>
  <si>
    <t>Approved_By</t>
  </si>
  <si>
    <t>Published_To_Student</t>
  </si>
  <si>
    <t>RES-001</t>
  </si>
  <si>
    <t>RES-002</t>
  </si>
  <si>
    <t>B</t>
  </si>
  <si>
    <t>RES-003</t>
  </si>
  <si>
    <t>Incomplete</t>
  </si>
  <si>
    <t>Attendance Records</t>
  </si>
  <si>
    <t>Bulk upload attendance by class, course and date.</t>
  </si>
  <si>
    <t>Attendance_ID</t>
  </si>
  <si>
    <t>Class_Date</t>
  </si>
  <si>
    <t>Session</t>
  </si>
  <si>
    <t>Attendance_Status</t>
  </si>
  <si>
    <t>Marked_By</t>
  </si>
  <si>
    <t>Marked_At</t>
  </si>
  <si>
    <t>ATT-001</t>
  </si>
  <si>
    <t>2026-05-06</t>
  </si>
  <si>
    <t>Morning</t>
  </si>
  <si>
    <t>Present</t>
  </si>
  <si>
    <t>2026-05-06 09:30</t>
  </si>
  <si>
    <t>ATT-002</t>
  </si>
  <si>
    <t>Late</t>
  </si>
  <si>
    <t>2026-05-06 09:45</t>
  </si>
  <si>
    <t>Arrived 15 minutes late</t>
  </si>
  <si>
    <t>ATT-003</t>
  </si>
  <si>
    <t>Afternoon</t>
  </si>
  <si>
    <t>Absent</t>
  </si>
  <si>
    <t>2026-05-06 14:30</t>
  </si>
  <si>
    <t>No reason submitted</t>
  </si>
  <si>
    <t>Library Books and Loans</t>
  </si>
  <si>
    <t>Book catalogue and loan tracking connected to student profiles.</t>
  </si>
  <si>
    <t>Library_Record_ID</t>
  </si>
  <si>
    <t>Book_ID</t>
  </si>
  <si>
    <t>ISBN</t>
  </si>
  <si>
    <t>Book_Title</t>
  </si>
  <si>
    <t>Author</t>
  </si>
  <si>
    <t>Category</t>
  </si>
  <si>
    <t>Total_Copies</t>
  </si>
  <si>
    <t>Available_Copies</t>
  </si>
  <si>
    <t>Borrower_Type</t>
  </si>
  <si>
    <t>Borrower_ID</t>
  </si>
  <si>
    <t>Issue_Date</t>
  </si>
  <si>
    <t>Return_Date</t>
  </si>
  <si>
    <t>Fine_ZMW</t>
  </si>
  <si>
    <t>Loan_Status</t>
  </si>
  <si>
    <t>LIB-001</t>
  </si>
  <si>
    <t>BK-001</t>
  </si>
  <si>
    <t>978-9982-001</t>
  </si>
  <si>
    <t>Teaching Methods</t>
  </si>
  <si>
    <t>A. Phiri</t>
  </si>
  <si>
    <t>Student</t>
  </si>
  <si>
    <t>2026-05-07</t>
  </si>
  <si>
    <t>2026-05-21</t>
  </si>
  <si>
    <t>Issued</t>
  </si>
  <si>
    <t>LIB-002</t>
  </si>
  <si>
    <t>BK-002</t>
  </si>
  <si>
    <t>978-9982-002</t>
  </si>
  <si>
    <t>B. Banda</t>
  </si>
  <si>
    <t>0</t>
  </si>
  <si>
    <t>Available</t>
  </si>
  <si>
    <t>LIB-003</t>
  </si>
  <si>
    <t>BK-003</t>
  </si>
  <si>
    <t>978-9982-003</t>
  </si>
  <si>
    <t>Business Principles</t>
  </si>
  <si>
    <t>C. Mwansa</t>
  </si>
  <si>
    <t>Staff</t>
  </si>
  <si>
    <t>2026-05-03</t>
  </si>
  <si>
    <t>2026-05-17</t>
  </si>
  <si>
    <t>Timetable</t>
  </si>
  <si>
    <t>Class and exam timetable data for student and staff portals.</t>
  </si>
  <si>
    <t>Timetable_ID</t>
  </si>
  <si>
    <t>Day</t>
  </si>
  <si>
    <t>Start_Time</t>
  </si>
  <si>
    <t>End_Time</t>
  </si>
  <si>
    <t>Room</t>
  </si>
  <si>
    <t>Timetable_Type</t>
  </si>
  <si>
    <t>TT-001</t>
  </si>
  <si>
    <t>Monday</t>
  </si>
  <si>
    <t>08:00</t>
  </si>
  <si>
    <t>10:00</t>
  </si>
  <si>
    <t>Room 1</t>
  </si>
  <si>
    <t>Class</t>
  </si>
  <si>
    <t>TT-002</t>
  </si>
  <si>
    <t>Tuesday</t>
  </si>
  <si>
    <t>12:00</t>
  </si>
  <si>
    <t>Computer Lab</t>
  </si>
  <si>
    <t>TT-003</t>
  </si>
  <si>
    <t>Wednesday</t>
  </si>
  <si>
    <t>14:00</t>
  </si>
  <si>
    <t>16:00</t>
  </si>
  <si>
    <t>Room 3</t>
  </si>
  <si>
    <t>Notices and Notifications</t>
  </si>
  <si>
    <t>Portal messages, fee reminders, exam alerts and LMS announcements.</t>
  </si>
  <si>
    <t>Notice_ID</t>
  </si>
  <si>
    <t>Audience</t>
  </si>
  <si>
    <t>Title</t>
  </si>
  <si>
    <t>Message</t>
  </si>
  <si>
    <t>Priority</t>
  </si>
  <si>
    <t>Publish_Date</t>
  </si>
  <si>
    <t>Expiry_Date</t>
  </si>
  <si>
    <t>Send_Email</t>
  </si>
  <si>
    <t>NOT-001</t>
  </si>
  <si>
    <t>All Students</t>
  </si>
  <si>
    <t>Welcome to Semester 1</t>
  </si>
  <si>
    <t>Classes begin on 6 May 2026.</t>
  </si>
  <si>
    <t>Normal</t>
  </si>
  <si>
    <t>2026-05-15</t>
  </si>
  <si>
    <t>NOT-002</t>
  </si>
  <si>
    <t>Fee Defaulters</t>
  </si>
  <si>
    <t>LMS Access Notice</t>
  </si>
  <si>
    <t>Kindly contact the admin for LMS Access.</t>
  </si>
  <si>
    <t>High</t>
  </si>
  <si>
    <t>NOT-003</t>
  </si>
  <si>
    <t>ICT101 Test Reminder</t>
  </si>
  <si>
    <t>Your test is scheduled for 2 June 2026.</t>
  </si>
  <si>
    <t>2026-05-28</t>
  </si>
  <si>
    <t>Documents and Certificates</t>
  </si>
  <si>
    <t>Tracks uploaded documents, generated letters, result slips and certificates.</t>
  </si>
  <si>
    <t>Document_ID</t>
  </si>
  <si>
    <t>Owner_Type</t>
  </si>
  <si>
    <t>Owner_ID</t>
  </si>
  <si>
    <t>Document_Type</t>
  </si>
  <si>
    <t>Document_Title</t>
  </si>
  <si>
    <t>File_URL</t>
  </si>
  <si>
    <t>Issued_Date</t>
  </si>
  <si>
    <t>Verified</t>
  </si>
  <si>
    <t>Access_Level</t>
  </si>
  <si>
    <t>DOC-001</t>
  </si>
  <si>
    <t>Admission Letter</t>
  </si>
  <si>
    <t>Admission Letter 2026</t>
  </si>
  <si>
    <t>/documents/admission/MCE-2026-001.pdf</t>
  </si>
  <si>
    <t>2026-04-20</t>
  </si>
  <si>
    <t>Student + Admin</t>
  </si>
  <si>
    <t>Generated after admission approval</t>
  </si>
  <si>
    <t>DOC-002</t>
  </si>
  <si>
    <t>Receipt</t>
  </si>
  <si>
    <t>Receipt RCT-002</t>
  </si>
  <si>
    <t>/documents/receipts/RCT-002.pdf</t>
  </si>
  <si>
    <t>Student + Accounts</t>
  </si>
  <si>
    <t>Payment receipt</t>
  </si>
  <si>
    <t>DOC-003</t>
  </si>
  <si>
    <t>Qualification</t>
  </si>
  <si>
    <t>Lecturer Degree Certificate</t>
  </si>
  <si>
    <t>/documents/staff/STF-002-degree.pdf</t>
  </si>
  <si>
    <t>Admin Only</t>
  </si>
  <si>
    <t>Awaiting verification</t>
  </si>
  <si>
    <t>HEA Compliance Checklist</t>
  </si>
  <si>
    <t>Basic HEA readiness tracker for student, academic, staff, exam and reporting records.</t>
  </si>
  <si>
    <t>Compliance_ID</t>
  </si>
  <si>
    <t>Area</t>
  </si>
  <si>
    <t>Requirement</t>
  </si>
  <si>
    <t>System_Module</t>
  </si>
  <si>
    <t>Evidence_Record</t>
  </si>
  <si>
    <t>Responsible_Role</t>
  </si>
  <si>
    <t>Review_Frequency</t>
  </si>
  <si>
    <t>Compliance_Status</t>
  </si>
  <si>
    <t>Action_Needed</t>
  </si>
  <si>
    <t>HEA-001</t>
  </si>
  <si>
    <t>Student Records</t>
  </si>
  <si>
    <t>Every student must have a complete profile with admission, programme and academic status.</t>
  </si>
  <si>
    <t>Student profile export</t>
  </si>
  <si>
    <t>Registrar</t>
  </si>
  <si>
    <t>Monthly</t>
  </si>
  <si>
    <t>Compliant</t>
  </si>
  <si>
    <t>Maintain document completeness</t>
  </si>
  <si>
    <t>HEA-002</t>
  </si>
  <si>
    <t>Academic Delivery</t>
  </si>
  <si>
    <t>Courses must be linked to programmes, lecturers, semesters and learning materials.</t>
  </si>
  <si>
    <t>Courses_Subjects + LMS</t>
  </si>
  <si>
    <t>Course allocation report</t>
  </si>
  <si>
    <t>Academic Office</t>
  </si>
  <si>
    <t>Per Semester</t>
  </si>
  <si>
    <t>Upload missing course outlines</t>
  </si>
  <si>
    <t>HEA-003</t>
  </si>
  <si>
    <t>Assessment Records</t>
  </si>
  <si>
    <t>Exam schedules, question bank, results and approvals must be traceable.</t>
  </si>
  <si>
    <t>Online Exams + Results</t>
  </si>
  <si>
    <t>Assessment audit report</t>
  </si>
  <si>
    <t>Exam Office</t>
  </si>
  <si>
    <t>Per Exam Cycle</t>
  </si>
  <si>
    <t>In Progress</t>
  </si>
  <si>
    <t>Approve pending results before publishing</t>
  </si>
  <si>
    <t>Dashboard Summary</t>
  </si>
  <si>
    <t>Simple import-readiness and management summary using counts from key sheets.</t>
  </si>
  <si>
    <t>Metric</t>
  </si>
  <si>
    <t>Formula_Result</t>
  </si>
  <si>
    <t>Target_Meaning</t>
  </si>
  <si>
    <t>Total Students</t>
  </si>
  <si>
    <t>All student records in core master</t>
  </si>
  <si>
    <t>Review</t>
  </si>
  <si>
    <t>Active LMS Blocks</t>
  </si>
  <si>
    <t>Students whose LMS content must be blocked</t>
  </si>
  <si>
    <t>Monitor</t>
  </si>
  <si>
    <t>Approved Results</t>
  </si>
  <si>
    <t>Results approved for publishing</t>
  </si>
  <si>
    <t>HEA Open Actions</t>
  </si>
  <si>
    <t>Compliance items needing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</si>
</sst>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name val="Carlito"/>
    </font>
    <font>
      <sz val="10"/>
      <name val="Carlito"/>
    </font>
    <font>
      <b/>
      <sz val="11"/>
      <name val="Carlito"/>
    </font>
    <font>
      <i/>
      <sz val="9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/>
    <xf numFmtId="0" fontId="0" fillId="0" borderId="2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workbookViewId="0">
      <selection sqref="A1:F1"/>
    </sheetView>
  </sheetViews>
  <sheetFormatPr defaultRowHeight="14"/>
  <cols>
    <col min="1" max="1" width="16" customWidth="1"/>
    <col min="2" max="2" width="34" customWidth="1"/>
    <col min="3" max="6" width="16" customWidth="1"/>
  </cols>
  <sheetData>
    <row r="1" spans="1:6" ht="28" customHeight="1">
      <c r="A1" s="5" t="s">
        <v>0</v>
      </c>
      <c r="B1" s="5"/>
      <c r="C1" s="5"/>
      <c r="D1" s="5"/>
      <c r="E1" s="5"/>
      <c r="F1" s="5"/>
    </row>
    <row r="2" spans="1:6" ht="36" customHeight="1">
      <c r="A2" s="6" t="s">
        <v>1</v>
      </c>
      <c r="B2" s="6"/>
      <c r="C2" s="6"/>
      <c r="D2" s="6"/>
      <c r="E2" s="6"/>
      <c r="F2" s="6"/>
    </row>
    <row r="3" spans="1:6" ht="18" customHeight="1"/>
    <row r="4" spans="1:6" ht="1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8" customHeight="1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ht="18" customHeight="1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</row>
    <row r="7" spans="1:6" ht="18" customHeight="1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showGridLines="0" topLeftCell="B1" workbookViewId="0">
      <selection activeCell="H5" sqref="H5"/>
    </sheetView>
  </sheetViews>
  <sheetFormatPr defaultRowHeight="14"/>
  <cols>
    <col min="1" max="5" width="16" customWidth="1"/>
    <col min="6" max="6" width="17.75" bestFit="1" customWidth="1"/>
    <col min="7" max="8" width="16" customWidth="1"/>
    <col min="9" max="9" width="18" customWidth="1"/>
    <col min="10" max="10" width="16" customWidth="1"/>
  </cols>
  <sheetData>
    <row r="1" spans="1:10" ht="28" customHeight="1">
      <c r="A1" s="5" t="s">
        <v>26</v>
      </c>
      <c r="B1" s="5"/>
      <c r="C1" s="5"/>
      <c r="D1" s="5"/>
      <c r="E1" s="5"/>
      <c r="F1" s="5"/>
      <c r="G1" s="5"/>
      <c r="H1" s="5"/>
      <c r="I1" s="5"/>
      <c r="J1" s="5"/>
    </row>
    <row r="2" spans="1:10" ht="36" customHeight="1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0" ht="18" customHeight="1"/>
    <row r="4" spans="1:10" ht="18" customHeight="1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 spans="1:10" ht="18" customHeight="1">
      <c r="A5" t="s">
        <v>38</v>
      </c>
      <c r="B5" t="s">
        <v>39</v>
      </c>
      <c r="C5" t="s">
        <v>40</v>
      </c>
      <c r="D5" t="s">
        <v>41</v>
      </c>
      <c r="E5" t="s">
        <v>42</v>
      </c>
      <c r="F5">
        <v>120</v>
      </c>
      <c r="G5">
        <v>118</v>
      </c>
      <c r="H5">
        <v>2</v>
      </c>
      <c r="I5" t="s">
        <v>43</v>
      </c>
      <c r="J5" t="s">
        <v>44</v>
      </c>
    </row>
    <row r="6" spans="1:10" ht="18" customHeight="1">
      <c r="A6" t="s">
        <v>45</v>
      </c>
      <c r="B6" t="s">
        <v>46</v>
      </c>
      <c r="C6" t="s">
        <v>47</v>
      </c>
      <c r="D6" t="s">
        <v>48</v>
      </c>
      <c r="E6" t="s">
        <v>49</v>
      </c>
      <c r="F6">
        <v>34</v>
      </c>
      <c r="G6">
        <v>34</v>
      </c>
      <c r="H6">
        <v>0</v>
      </c>
      <c r="I6" t="s">
        <v>43</v>
      </c>
      <c r="J6" t="s">
        <v>50</v>
      </c>
    </row>
    <row r="7" spans="1:10" ht="18" customHeight="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>
        <v>60</v>
      </c>
      <c r="G7" s="2">
        <v>57</v>
      </c>
      <c r="H7" s="2">
        <v>3</v>
      </c>
      <c r="I7" s="2" t="s">
        <v>56</v>
      </c>
      <c r="J7" s="2" t="s">
        <v>57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workbookViewId="0">
      <selection sqref="A1:F1"/>
    </sheetView>
  </sheetViews>
  <sheetFormatPr defaultRowHeight="14"/>
  <cols>
    <col min="1" max="2" width="16" customWidth="1"/>
    <col min="3" max="3" width="24" customWidth="1"/>
    <col min="4" max="4" width="16" customWidth="1"/>
    <col min="5" max="5" width="18" customWidth="1"/>
    <col min="6" max="6" width="34" customWidth="1"/>
  </cols>
  <sheetData>
    <row r="1" spans="1:6" ht="28" customHeight="1">
      <c r="A1" s="5" t="s">
        <v>58</v>
      </c>
      <c r="B1" s="5"/>
      <c r="C1" s="5"/>
      <c r="D1" s="5"/>
      <c r="E1" s="5"/>
      <c r="F1" s="5"/>
    </row>
    <row r="2" spans="1:6" ht="36" customHeight="1">
      <c r="A2" s="6" t="s">
        <v>59</v>
      </c>
      <c r="B2" s="6"/>
      <c r="C2" s="6"/>
      <c r="D2" s="6"/>
      <c r="E2" s="6"/>
      <c r="F2" s="6"/>
    </row>
    <row r="3" spans="1:6" ht="18" customHeight="1"/>
    <row r="4" spans="1:6" ht="18" customHeight="1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</row>
    <row r="5" spans="1:6" ht="18" customHeight="1">
      <c r="A5" t="s">
        <v>66</v>
      </c>
      <c r="B5" t="s">
        <v>67</v>
      </c>
      <c r="C5" t="s">
        <v>68</v>
      </c>
      <c r="E5" t="s">
        <v>69</v>
      </c>
      <c r="F5" t="s">
        <v>70</v>
      </c>
    </row>
    <row r="6" spans="1:6" ht="18" customHeight="1">
      <c r="A6" t="s">
        <v>71</v>
      </c>
      <c r="B6" t="s">
        <v>72</v>
      </c>
      <c r="C6" t="s">
        <v>73</v>
      </c>
      <c r="D6" t="s">
        <v>67</v>
      </c>
      <c r="E6" t="s">
        <v>69</v>
      </c>
      <c r="F6" t="s">
        <v>74</v>
      </c>
    </row>
    <row r="7" spans="1:6" ht="18" customHeight="1">
      <c r="A7" s="2" t="s">
        <v>75</v>
      </c>
      <c r="B7" s="2" t="s">
        <v>76</v>
      </c>
      <c r="C7" s="2" t="s">
        <v>77</v>
      </c>
      <c r="D7" s="2"/>
      <c r="E7" s="2" t="s">
        <v>69</v>
      </c>
      <c r="F7" s="2" t="s">
        <v>78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showGridLines="0" workbookViewId="0">
      <selection sqref="A1:K1"/>
    </sheetView>
  </sheetViews>
  <sheetFormatPr defaultRowHeight="14"/>
  <cols>
    <col min="1" max="2" width="18" customWidth="1"/>
    <col min="3" max="10" width="16" customWidth="1"/>
    <col min="11" max="11" width="18" customWidth="1"/>
  </cols>
  <sheetData>
    <row r="1" spans="1:11" ht="28" customHeight="1">
      <c r="A1" s="5" t="s">
        <v>79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6" customHeight="1">
      <c r="A2" s="6" t="s">
        <v>80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/>
    <row r="4" spans="1:11" ht="18" customHeight="1">
      <c r="A4" s="1" t="s">
        <v>81</v>
      </c>
      <c r="B4" s="1" t="s">
        <v>82</v>
      </c>
      <c r="C4" s="1" t="s">
        <v>83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88</v>
      </c>
      <c r="I4" s="1" t="s">
        <v>89</v>
      </c>
      <c r="J4" s="1" t="s">
        <v>90</v>
      </c>
      <c r="K4" s="1" t="s">
        <v>64</v>
      </c>
    </row>
    <row r="5" spans="1:11" ht="18" customHeight="1">
      <c r="A5" t="s">
        <v>91</v>
      </c>
      <c r="B5" t="s">
        <v>10</v>
      </c>
      <c r="C5" t="s">
        <v>92</v>
      </c>
      <c r="D5" t="s">
        <v>92</v>
      </c>
      <c r="E5" t="s">
        <v>92</v>
      </c>
      <c r="F5" t="s">
        <v>92</v>
      </c>
      <c r="G5" t="s">
        <v>92</v>
      </c>
      <c r="H5" t="s">
        <v>92</v>
      </c>
      <c r="I5" t="s">
        <v>92</v>
      </c>
      <c r="J5" t="s">
        <v>92</v>
      </c>
      <c r="K5" t="s">
        <v>69</v>
      </c>
    </row>
    <row r="6" spans="1:11" ht="18" customHeight="1">
      <c r="A6" t="s">
        <v>93</v>
      </c>
      <c r="B6" t="s">
        <v>94</v>
      </c>
      <c r="C6" t="s">
        <v>95</v>
      </c>
      <c r="D6" t="s">
        <v>96</v>
      </c>
      <c r="E6" t="s">
        <v>92</v>
      </c>
      <c r="F6" t="s">
        <v>97</v>
      </c>
      <c r="G6" t="s">
        <v>95</v>
      </c>
      <c r="H6" t="s">
        <v>96</v>
      </c>
      <c r="I6" t="s">
        <v>98</v>
      </c>
      <c r="J6" t="s">
        <v>95</v>
      </c>
      <c r="K6" t="s">
        <v>69</v>
      </c>
    </row>
    <row r="7" spans="1:11" ht="18" customHeight="1">
      <c r="A7" s="2" t="s">
        <v>99</v>
      </c>
      <c r="B7" s="2" t="s">
        <v>100</v>
      </c>
      <c r="C7" s="2" t="s">
        <v>95</v>
      </c>
      <c r="D7" s="2" t="s">
        <v>101</v>
      </c>
      <c r="E7" s="2" t="s">
        <v>95</v>
      </c>
      <c r="F7" s="2" t="s">
        <v>102</v>
      </c>
      <c r="G7" s="2" t="s">
        <v>103</v>
      </c>
      <c r="H7" s="2" t="s">
        <v>95</v>
      </c>
      <c r="I7" s="2" t="s">
        <v>104</v>
      </c>
      <c r="J7" s="2" t="s">
        <v>95</v>
      </c>
      <c r="K7" s="2" t="s">
        <v>69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showGridLines="0" workbookViewId="0">
      <selection sqref="A1:K1"/>
    </sheetView>
  </sheetViews>
  <sheetFormatPr defaultRowHeight="14"/>
  <cols>
    <col min="1" max="2" width="16" customWidth="1"/>
    <col min="3" max="4" width="24" customWidth="1"/>
    <col min="5" max="5" width="16" customWidth="1"/>
    <col min="6" max="6" width="18" customWidth="1"/>
    <col min="7" max="8" width="16" customWidth="1"/>
    <col min="9" max="9" width="18" customWidth="1"/>
    <col min="10" max="11" width="16" customWidth="1"/>
  </cols>
  <sheetData>
    <row r="1" spans="1:11" ht="28" customHeight="1">
      <c r="A1" s="5" t="s">
        <v>105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6" customHeight="1">
      <c r="A2" s="6" t="s">
        <v>106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/>
    <row r="4" spans="1:11" ht="18" customHeight="1">
      <c r="A4" s="1" t="s">
        <v>107</v>
      </c>
      <c r="B4" s="1" t="s">
        <v>108</v>
      </c>
      <c r="C4" s="1" t="s">
        <v>109</v>
      </c>
      <c r="D4" s="1" t="s">
        <v>110</v>
      </c>
      <c r="E4" s="1" t="s">
        <v>111</v>
      </c>
      <c r="F4" s="1" t="s">
        <v>81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</row>
    <row r="5" spans="1:11" ht="18" customHeight="1">
      <c r="A5" t="s">
        <v>117</v>
      </c>
      <c r="B5" t="s">
        <v>118</v>
      </c>
      <c r="C5" t="s">
        <v>119</v>
      </c>
      <c r="D5" t="s">
        <v>120</v>
      </c>
      <c r="E5" t="s">
        <v>121</v>
      </c>
      <c r="F5" t="s">
        <v>91</v>
      </c>
      <c r="G5" t="s">
        <v>122</v>
      </c>
      <c r="H5" t="s">
        <v>123</v>
      </c>
      <c r="I5" t="s">
        <v>69</v>
      </c>
      <c r="J5" t="s">
        <v>124</v>
      </c>
      <c r="K5" s="3" t="b">
        <v>1</v>
      </c>
    </row>
    <row r="6" spans="1:11" ht="18" customHeight="1">
      <c r="A6" t="s">
        <v>125</v>
      </c>
      <c r="B6" t="s">
        <v>126</v>
      </c>
      <c r="C6" t="s">
        <v>127</v>
      </c>
      <c r="D6" t="s">
        <v>128</v>
      </c>
      <c r="E6" t="s">
        <v>129</v>
      </c>
      <c r="F6" t="s">
        <v>99</v>
      </c>
      <c r="G6" t="s">
        <v>130</v>
      </c>
      <c r="H6" t="s">
        <v>123</v>
      </c>
      <c r="I6" t="s">
        <v>69</v>
      </c>
      <c r="J6" t="s">
        <v>124</v>
      </c>
      <c r="K6" s="3" t="b">
        <v>1</v>
      </c>
    </row>
    <row r="7" spans="1:11" ht="18" customHeight="1">
      <c r="A7" s="2" t="s">
        <v>131</v>
      </c>
      <c r="B7" s="2" t="s">
        <v>132</v>
      </c>
      <c r="C7" s="2" t="s">
        <v>133</v>
      </c>
      <c r="D7" s="2" t="s">
        <v>134</v>
      </c>
      <c r="E7" s="2" t="s">
        <v>135</v>
      </c>
      <c r="F7" s="2" t="s">
        <v>93</v>
      </c>
      <c r="G7" s="2" t="s">
        <v>136</v>
      </c>
      <c r="H7" s="2" t="s">
        <v>123</v>
      </c>
      <c r="I7" s="2" t="s">
        <v>69</v>
      </c>
      <c r="J7" s="2" t="s">
        <v>124</v>
      </c>
      <c r="K7" s="4" t="b">
        <v>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showGridLines="0" topLeftCell="C1" workbookViewId="0">
      <selection activeCell="K1" sqref="K1"/>
    </sheetView>
  </sheetViews>
  <sheetFormatPr defaultRowHeight="14"/>
  <cols>
    <col min="1" max="1" width="16" customWidth="1"/>
    <col min="2" max="2" width="24" customWidth="1"/>
    <col min="3" max="3" width="16" customWidth="1"/>
    <col min="4" max="4" width="24" customWidth="1"/>
    <col min="5" max="9" width="16" customWidth="1"/>
    <col min="10" max="10" width="18" customWidth="1"/>
  </cols>
  <sheetData>
    <row r="1" spans="1:10" ht="28" customHeight="1">
      <c r="A1" s="5" t="s">
        <v>137</v>
      </c>
      <c r="B1" s="5"/>
      <c r="C1" s="5"/>
      <c r="D1" s="5"/>
      <c r="E1" s="5"/>
      <c r="F1" s="5"/>
      <c r="G1" s="5"/>
      <c r="H1" s="5"/>
      <c r="I1" s="5"/>
      <c r="J1" s="5"/>
    </row>
    <row r="2" spans="1:10" ht="36" customHeight="1">
      <c r="A2" s="6" t="s">
        <v>138</v>
      </c>
      <c r="B2" s="6"/>
      <c r="C2" s="6"/>
      <c r="D2" s="6"/>
      <c r="E2" s="6"/>
      <c r="F2" s="6"/>
      <c r="G2" s="6"/>
      <c r="H2" s="6"/>
      <c r="I2" s="6"/>
      <c r="J2" s="6"/>
    </row>
    <row r="3" spans="1:10" ht="18" customHeight="1"/>
    <row r="4" spans="1:10" ht="18" customHeight="1">
      <c r="A4" s="1" t="s">
        <v>112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144</v>
      </c>
      <c r="H4" s="1" t="s">
        <v>145</v>
      </c>
      <c r="I4" s="1" t="s">
        <v>146</v>
      </c>
      <c r="J4" s="1" t="s">
        <v>64</v>
      </c>
    </row>
    <row r="5" spans="1:10" ht="18" customHeight="1">
      <c r="A5" t="s">
        <v>130</v>
      </c>
      <c r="B5" t="s">
        <v>147</v>
      </c>
      <c r="C5" t="s">
        <v>148</v>
      </c>
      <c r="D5" t="s">
        <v>149</v>
      </c>
      <c r="E5" t="s">
        <v>150</v>
      </c>
      <c r="F5">
        <v>3</v>
      </c>
      <c r="G5" t="s">
        <v>123</v>
      </c>
      <c r="H5" t="s">
        <v>151</v>
      </c>
      <c r="I5">
        <v>120</v>
      </c>
      <c r="J5" t="s">
        <v>69</v>
      </c>
    </row>
    <row r="6" spans="1:10" ht="18" customHeight="1">
      <c r="A6" t="s">
        <v>152</v>
      </c>
      <c r="B6" t="s">
        <v>152</v>
      </c>
      <c r="C6" t="s">
        <v>153</v>
      </c>
      <c r="D6" t="s">
        <v>154</v>
      </c>
      <c r="E6" t="s">
        <v>150</v>
      </c>
      <c r="F6">
        <v>2</v>
      </c>
      <c r="G6" t="s">
        <v>123</v>
      </c>
      <c r="H6" t="s">
        <v>151</v>
      </c>
      <c r="I6">
        <v>80</v>
      </c>
      <c r="J6" t="s">
        <v>69</v>
      </c>
    </row>
    <row r="7" spans="1:10" ht="18" customHeight="1">
      <c r="A7" s="2" t="s">
        <v>155</v>
      </c>
      <c r="B7" s="2" t="s">
        <v>156</v>
      </c>
      <c r="C7" s="2" t="s">
        <v>157</v>
      </c>
      <c r="D7" s="2" t="s">
        <v>158</v>
      </c>
      <c r="E7" s="2" t="s">
        <v>150</v>
      </c>
      <c r="F7" s="2">
        <v>2</v>
      </c>
      <c r="G7" s="2" t="s">
        <v>159</v>
      </c>
      <c r="H7" s="2" t="s">
        <v>160</v>
      </c>
      <c r="I7" s="2">
        <v>60</v>
      </c>
      <c r="J7" s="2" t="s">
        <v>161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showGridLines="0" workbookViewId="0">
      <selection sqref="A1:J1"/>
    </sheetView>
  </sheetViews>
  <sheetFormatPr defaultRowHeight="14"/>
  <cols>
    <col min="1" max="1" width="16" customWidth="1"/>
    <col min="2" max="2" width="34" customWidth="1"/>
    <col min="3" max="9" width="16" customWidth="1"/>
    <col min="10" max="10" width="18" customWidth="1"/>
  </cols>
  <sheetData>
    <row r="1" spans="1:10" ht="28" customHeight="1">
      <c r="A1" s="5" t="s">
        <v>162</v>
      </c>
      <c r="B1" s="5"/>
      <c r="C1" s="5"/>
      <c r="D1" s="5"/>
      <c r="E1" s="5"/>
      <c r="F1" s="5"/>
      <c r="G1" s="5"/>
      <c r="H1" s="5"/>
      <c r="I1" s="5"/>
      <c r="J1" s="5"/>
    </row>
    <row r="2" spans="1:10" ht="36" customHeight="1">
      <c r="A2" s="6" t="s">
        <v>163</v>
      </c>
      <c r="B2" s="6"/>
      <c r="C2" s="6"/>
      <c r="D2" s="6"/>
      <c r="E2" s="6"/>
      <c r="F2" s="6"/>
      <c r="G2" s="6"/>
      <c r="H2" s="6"/>
      <c r="I2" s="6"/>
      <c r="J2" s="6"/>
    </row>
    <row r="3" spans="1:10" ht="18" customHeight="1"/>
    <row r="4" spans="1:10" ht="18" customHeight="1">
      <c r="A4" s="1" t="s">
        <v>164</v>
      </c>
      <c r="B4" s="1" t="s">
        <v>165</v>
      </c>
      <c r="C4" s="1" t="s">
        <v>140</v>
      </c>
      <c r="D4" s="1" t="s">
        <v>166</v>
      </c>
      <c r="E4" s="1" t="s">
        <v>167</v>
      </c>
      <c r="F4" s="1" t="s">
        <v>168</v>
      </c>
      <c r="G4" s="1" t="s">
        <v>169</v>
      </c>
      <c r="H4" s="1" t="s">
        <v>170</v>
      </c>
      <c r="I4" s="1" t="s">
        <v>171</v>
      </c>
      <c r="J4" s="1" t="s">
        <v>64</v>
      </c>
    </row>
    <row r="5" spans="1:10" ht="18" customHeight="1">
      <c r="A5" t="s">
        <v>172</v>
      </c>
      <c r="B5" t="s">
        <v>173</v>
      </c>
      <c r="C5" t="s">
        <v>148</v>
      </c>
      <c r="D5">
        <v>1</v>
      </c>
      <c r="E5" t="s">
        <v>72</v>
      </c>
      <c r="F5">
        <v>3</v>
      </c>
      <c r="G5" t="s">
        <v>125</v>
      </c>
      <c r="H5" t="s">
        <v>151</v>
      </c>
      <c r="I5" t="s">
        <v>151</v>
      </c>
      <c r="J5" t="s">
        <v>69</v>
      </c>
    </row>
    <row r="6" spans="1:10" ht="18" customHeight="1">
      <c r="A6" t="s">
        <v>174</v>
      </c>
      <c r="B6" t="s">
        <v>175</v>
      </c>
      <c r="C6" t="s">
        <v>153</v>
      </c>
      <c r="D6">
        <v>1</v>
      </c>
      <c r="E6" t="s">
        <v>72</v>
      </c>
      <c r="F6">
        <v>3</v>
      </c>
      <c r="G6" t="s">
        <v>125</v>
      </c>
      <c r="H6" t="s">
        <v>151</v>
      </c>
      <c r="I6" t="s">
        <v>151</v>
      </c>
      <c r="J6" t="s">
        <v>69</v>
      </c>
    </row>
    <row r="7" spans="1:10" ht="18" customHeight="1">
      <c r="A7" s="2" t="s">
        <v>176</v>
      </c>
      <c r="B7" s="2" t="s">
        <v>177</v>
      </c>
      <c r="C7" s="2" t="s">
        <v>157</v>
      </c>
      <c r="D7" s="2">
        <v>1</v>
      </c>
      <c r="E7" s="2" t="s">
        <v>72</v>
      </c>
      <c r="F7" s="2">
        <v>3</v>
      </c>
      <c r="G7" s="2" t="s">
        <v>125</v>
      </c>
      <c r="H7" s="2" t="s">
        <v>151</v>
      </c>
      <c r="I7" s="2" t="s">
        <v>151</v>
      </c>
      <c r="J7" s="2" t="s">
        <v>69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"/>
  <sheetViews>
    <sheetView showGridLines="0" workbookViewId="0">
      <selection activeCell="A10" sqref="A10"/>
    </sheetView>
  </sheetViews>
  <sheetFormatPr defaultRowHeight="14"/>
  <cols>
    <col min="1" max="2" width="16" customWidth="1"/>
    <col min="3" max="3" width="24" customWidth="1"/>
    <col min="4" max="4" width="18" customWidth="1"/>
    <col min="5" max="6" width="16" customWidth="1"/>
    <col min="7" max="7" width="24" customWidth="1"/>
    <col min="8" max="8" width="16" customWidth="1"/>
    <col min="9" max="9" width="24" customWidth="1"/>
    <col min="10" max="10" width="16" customWidth="1"/>
    <col min="11" max="11" width="34" customWidth="1"/>
    <col min="12" max="14" width="16" customWidth="1"/>
    <col min="15" max="16" width="18" customWidth="1"/>
    <col min="17" max="17" width="16" customWidth="1"/>
  </cols>
  <sheetData>
    <row r="1" spans="1:17" ht="28" customHeight="1">
      <c r="A1" s="5" t="s">
        <v>178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36" customHeight="1">
      <c r="A2" s="6" t="s">
        <v>179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8" customHeight="1"/>
    <row r="4" spans="1:17" ht="18" customHeight="1">
      <c r="A4" s="1" t="s">
        <v>180</v>
      </c>
      <c r="B4" s="1" t="s">
        <v>181</v>
      </c>
      <c r="C4" s="1" t="s">
        <v>109</v>
      </c>
      <c r="D4" s="1" t="s">
        <v>182</v>
      </c>
      <c r="E4" s="1" t="s">
        <v>183</v>
      </c>
      <c r="F4" s="1" t="s">
        <v>184</v>
      </c>
      <c r="G4" s="1" t="s">
        <v>110</v>
      </c>
      <c r="H4" s="1" t="s">
        <v>111</v>
      </c>
      <c r="I4" s="1" t="s">
        <v>185</v>
      </c>
      <c r="J4" s="1" t="s">
        <v>186</v>
      </c>
      <c r="K4" s="1" t="s">
        <v>187</v>
      </c>
      <c r="L4" s="1" t="s">
        <v>140</v>
      </c>
      <c r="M4" s="1" t="s">
        <v>166</v>
      </c>
      <c r="N4" s="1" t="s">
        <v>167</v>
      </c>
      <c r="O4" s="1" t="s">
        <v>188</v>
      </c>
      <c r="P4" s="1" t="s">
        <v>189</v>
      </c>
      <c r="Q4" s="1" t="s">
        <v>190</v>
      </c>
    </row>
    <row r="5" spans="1:17" ht="18" customHeight="1">
      <c r="A5" t="s">
        <v>191</v>
      </c>
      <c r="B5" t="s">
        <v>192</v>
      </c>
      <c r="C5" t="s">
        <v>193</v>
      </c>
      <c r="D5" t="s">
        <v>194</v>
      </c>
      <c r="E5" t="s">
        <v>195</v>
      </c>
      <c r="F5" t="s">
        <v>196</v>
      </c>
      <c r="G5" t="s">
        <v>197</v>
      </c>
      <c r="H5" t="s">
        <v>198</v>
      </c>
      <c r="I5" t="s">
        <v>199</v>
      </c>
      <c r="J5" t="s">
        <v>200</v>
      </c>
      <c r="K5" t="s">
        <v>201</v>
      </c>
      <c r="L5" t="s">
        <v>148</v>
      </c>
      <c r="M5">
        <v>1</v>
      </c>
      <c r="N5" t="s">
        <v>72</v>
      </c>
      <c r="O5" t="s">
        <v>202</v>
      </c>
      <c r="P5" t="s">
        <v>69</v>
      </c>
      <c r="Q5" t="s">
        <v>203</v>
      </c>
    </row>
    <row r="6" spans="1:17" ht="18" customHeight="1">
      <c r="A6" t="s">
        <v>204</v>
      </c>
      <c r="B6" t="s">
        <v>205</v>
      </c>
      <c r="C6" t="s">
        <v>206</v>
      </c>
      <c r="D6" t="s">
        <v>207</v>
      </c>
      <c r="E6" t="s">
        <v>208</v>
      </c>
      <c r="F6" t="s">
        <v>209</v>
      </c>
      <c r="G6" t="s">
        <v>210</v>
      </c>
      <c r="H6" t="s">
        <v>211</v>
      </c>
      <c r="I6" t="s">
        <v>212</v>
      </c>
      <c r="J6" t="s">
        <v>213</v>
      </c>
      <c r="K6" t="s">
        <v>214</v>
      </c>
      <c r="L6" t="s">
        <v>153</v>
      </c>
      <c r="M6">
        <v>1</v>
      </c>
      <c r="N6" t="s">
        <v>72</v>
      </c>
      <c r="O6" t="s">
        <v>215</v>
      </c>
      <c r="P6" t="s">
        <v>69</v>
      </c>
      <c r="Q6" t="s">
        <v>203</v>
      </c>
    </row>
    <row r="7" spans="1:17" ht="18" customHeight="1">
      <c r="A7" s="2" t="s">
        <v>216</v>
      </c>
      <c r="B7" s="2" t="s">
        <v>217</v>
      </c>
      <c r="C7" s="2" t="s">
        <v>218</v>
      </c>
      <c r="D7" s="2" t="s">
        <v>194</v>
      </c>
      <c r="E7" s="2" t="s">
        <v>219</v>
      </c>
      <c r="F7" s="2" t="s">
        <v>220</v>
      </c>
      <c r="G7" s="2" t="s">
        <v>221</v>
      </c>
      <c r="H7" s="2" t="s">
        <v>222</v>
      </c>
      <c r="I7" s="2" t="s">
        <v>223</v>
      </c>
      <c r="J7" s="2" t="s">
        <v>224</v>
      </c>
      <c r="K7" s="2" t="s">
        <v>225</v>
      </c>
      <c r="L7" s="2" t="s">
        <v>157</v>
      </c>
      <c r="M7" s="2">
        <v>1</v>
      </c>
      <c r="N7" s="2" t="s">
        <v>72</v>
      </c>
      <c r="O7" s="2" t="s">
        <v>226</v>
      </c>
      <c r="P7" s="2" t="s">
        <v>227</v>
      </c>
      <c r="Q7" s="2" t="s">
        <v>203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showGridLines="0" workbookViewId="0">
      <selection sqref="A1:K1"/>
    </sheetView>
  </sheetViews>
  <sheetFormatPr defaultRowHeight="14"/>
  <cols>
    <col min="1" max="1" width="16" customWidth="1"/>
    <col min="2" max="3" width="24" customWidth="1"/>
    <col min="4" max="6" width="16" customWidth="1"/>
    <col min="7" max="9" width="18" customWidth="1"/>
    <col min="10" max="11" width="16" customWidth="1"/>
  </cols>
  <sheetData>
    <row r="1" spans="1:11" ht="28" customHeight="1">
      <c r="A1" s="5" t="s">
        <v>228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6" customHeight="1">
      <c r="A2" s="6" t="s">
        <v>229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/>
    <row r="4" spans="1:11" ht="18" customHeight="1">
      <c r="A4" s="1" t="s">
        <v>230</v>
      </c>
      <c r="B4" s="1" t="s">
        <v>231</v>
      </c>
      <c r="C4" s="1" t="s">
        <v>110</v>
      </c>
      <c r="D4" s="1" t="s">
        <v>111</v>
      </c>
      <c r="E4" s="1" t="s">
        <v>140</v>
      </c>
      <c r="F4" s="1" t="s">
        <v>232</v>
      </c>
      <c r="G4" s="1" t="s">
        <v>233</v>
      </c>
      <c r="H4" s="1" t="s">
        <v>234</v>
      </c>
      <c r="I4" s="1" t="s">
        <v>235</v>
      </c>
      <c r="J4" s="1" t="s">
        <v>236</v>
      </c>
      <c r="K4" s="1" t="s">
        <v>237</v>
      </c>
    </row>
    <row r="5" spans="1:11" ht="18" customHeight="1">
      <c r="A5" t="s">
        <v>238</v>
      </c>
      <c r="B5" t="s">
        <v>193</v>
      </c>
      <c r="C5" t="s">
        <v>197</v>
      </c>
      <c r="D5" t="s">
        <v>198</v>
      </c>
      <c r="E5" t="s">
        <v>148</v>
      </c>
      <c r="F5" t="s">
        <v>239</v>
      </c>
      <c r="G5" t="s">
        <v>240</v>
      </c>
      <c r="H5" t="s">
        <v>241</v>
      </c>
      <c r="I5" t="s">
        <v>242</v>
      </c>
      <c r="J5" t="s">
        <v>243</v>
      </c>
      <c r="K5" t="s">
        <v>191</v>
      </c>
    </row>
    <row r="6" spans="1:11" ht="18" customHeight="1">
      <c r="A6" t="s">
        <v>244</v>
      </c>
      <c r="B6" t="s">
        <v>206</v>
      </c>
      <c r="C6" t="s">
        <v>210</v>
      </c>
      <c r="D6" t="s">
        <v>211</v>
      </c>
      <c r="E6" t="s">
        <v>153</v>
      </c>
      <c r="F6" t="s">
        <v>245</v>
      </c>
      <c r="G6" t="s">
        <v>240</v>
      </c>
      <c r="H6" t="s">
        <v>241</v>
      </c>
      <c r="I6" t="s">
        <v>242</v>
      </c>
      <c r="J6" t="s">
        <v>243</v>
      </c>
      <c r="K6" t="s">
        <v>204</v>
      </c>
    </row>
    <row r="7" spans="1:11" ht="18" customHeight="1">
      <c r="A7" s="2" t="s">
        <v>246</v>
      </c>
      <c r="B7" s="2" t="s">
        <v>218</v>
      </c>
      <c r="C7" s="2" t="s">
        <v>221</v>
      </c>
      <c r="D7" s="2" t="s">
        <v>222</v>
      </c>
      <c r="E7" s="2" t="s">
        <v>157</v>
      </c>
      <c r="F7" s="2" t="s">
        <v>247</v>
      </c>
      <c r="G7" s="2" t="s">
        <v>160</v>
      </c>
      <c r="H7" s="2" t="s">
        <v>248</v>
      </c>
      <c r="I7" s="2" t="s">
        <v>160</v>
      </c>
      <c r="J7" s="2" t="s">
        <v>249</v>
      </c>
      <c r="K7" s="2"/>
    </row>
  </sheetData>
  <mergeCells count="2">
    <mergeCell ref="A1:K1"/>
    <mergeCell ref="A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showGridLines="0" tabSelected="1" workbookViewId="0">
      <selection activeCell="A3" sqref="A3"/>
    </sheetView>
  </sheetViews>
  <sheetFormatPr defaultRowHeight="14"/>
  <cols>
    <col min="1" max="7" width="16" customWidth="1"/>
    <col min="8" max="8" width="18" customWidth="1"/>
    <col min="9" max="10" width="16" customWidth="1"/>
  </cols>
  <sheetData>
    <row r="1" spans="1:10" ht="28" customHeight="1">
      <c r="A1" s="5" t="s">
        <v>250</v>
      </c>
      <c r="B1" s="5"/>
      <c r="C1" s="5"/>
      <c r="D1" s="5"/>
      <c r="E1" s="5"/>
      <c r="F1" s="5"/>
      <c r="G1" s="5"/>
      <c r="H1" s="5"/>
      <c r="I1" s="5"/>
      <c r="J1" s="5"/>
    </row>
    <row r="2" spans="1:10" ht="36" customHeight="1">
      <c r="A2" s="6" t="s">
        <v>251</v>
      </c>
      <c r="B2" s="6"/>
      <c r="C2" s="6"/>
      <c r="D2" s="6"/>
      <c r="E2" s="6"/>
      <c r="F2" s="6"/>
      <c r="G2" s="6"/>
      <c r="H2" s="6"/>
      <c r="I2" s="6"/>
      <c r="J2" s="6"/>
    </row>
    <row r="3" spans="1:10" ht="18" customHeight="1"/>
    <row r="4" spans="1:10" ht="18" customHeight="1">
      <c r="A4" s="1" t="s">
        <v>252</v>
      </c>
      <c r="B4" s="1" t="s">
        <v>180</v>
      </c>
      <c r="C4" s="1" t="s">
        <v>66</v>
      </c>
      <c r="D4" s="1" t="s">
        <v>167</v>
      </c>
      <c r="E4" s="1" t="s">
        <v>140</v>
      </c>
      <c r="F4" s="1" t="s">
        <v>166</v>
      </c>
      <c r="G4" s="1" t="s">
        <v>164</v>
      </c>
      <c r="H4" s="1" t="s">
        <v>253</v>
      </c>
      <c r="I4" s="1" t="s">
        <v>254</v>
      </c>
      <c r="J4" s="1" t="s">
        <v>37</v>
      </c>
    </row>
    <row r="5" spans="1:10" ht="18" customHeight="1">
      <c r="A5" t="s">
        <v>255</v>
      </c>
      <c r="B5" t="s">
        <v>191</v>
      </c>
      <c r="C5" t="s">
        <v>67</v>
      </c>
      <c r="D5" t="s">
        <v>72</v>
      </c>
      <c r="E5" t="s">
        <v>148</v>
      </c>
      <c r="F5">
        <v>1</v>
      </c>
      <c r="G5" t="s">
        <v>172</v>
      </c>
      <c r="H5" t="s">
        <v>256</v>
      </c>
      <c r="I5" t="s">
        <v>42</v>
      </c>
      <c r="J5" t="s">
        <v>257</v>
      </c>
    </row>
    <row r="6" spans="1:10" ht="18" customHeight="1">
      <c r="A6" t="s">
        <v>258</v>
      </c>
      <c r="B6" t="s">
        <v>204</v>
      </c>
      <c r="C6" t="s">
        <v>67</v>
      </c>
      <c r="D6" t="s">
        <v>72</v>
      </c>
      <c r="E6" t="s">
        <v>153</v>
      </c>
      <c r="F6">
        <v>1</v>
      </c>
      <c r="G6" t="s">
        <v>174</v>
      </c>
      <c r="H6" t="s">
        <v>256</v>
      </c>
      <c r="I6" t="s">
        <v>42</v>
      </c>
      <c r="J6" t="s">
        <v>257</v>
      </c>
    </row>
    <row r="7" spans="1:10" ht="18" customHeight="1">
      <c r="A7" s="2" t="s">
        <v>259</v>
      </c>
      <c r="B7" s="2" t="s">
        <v>216</v>
      </c>
      <c r="C7" s="2" t="s">
        <v>67</v>
      </c>
      <c r="D7" s="2" t="s">
        <v>72</v>
      </c>
      <c r="E7" s="2" t="s">
        <v>157</v>
      </c>
      <c r="F7" s="2">
        <v>1</v>
      </c>
      <c r="G7" s="2" t="s">
        <v>176</v>
      </c>
      <c r="H7" s="2" t="s">
        <v>160</v>
      </c>
      <c r="I7" s="2" t="s">
        <v>260</v>
      </c>
      <c r="J7" s="2" t="s">
        <v>261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showGridLines="0" workbookViewId="0">
      <selection sqref="A1:J1"/>
    </sheetView>
  </sheetViews>
  <sheetFormatPr defaultRowHeight="14"/>
  <cols>
    <col min="1" max="8" width="16" customWidth="1"/>
    <col min="9" max="9" width="18" customWidth="1"/>
    <col min="10" max="10" width="34" customWidth="1"/>
  </cols>
  <sheetData>
    <row r="1" spans="1:10" ht="28" customHeight="1">
      <c r="A1" s="5" t="s">
        <v>262</v>
      </c>
      <c r="B1" s="5"/>
      <c r="C1" s="5"/>
      <c r="D1" s="5"/>
      <c r="E1" s="5"/>
      <c r="F1" s="5"/>
      <c r="G1" s="5"/>
      <c r="H1" s="5"/>
      <c r="I1" s="5"/>
      <c r="J1" s="5"/>
    </row>
    <row r="2" spans="1:10" ht="36" customHeight="1">
      <c r="A2" s="6" t="s">
        <v>263</v>
      </c>
      <c r="B2" s="6"/>
      <c r="C2" s="6"/>
      <c r="D2" s="6"/>
      <c r="E2" s="6"/>
      <c r="F2" s="6"/>
      <c r="G2" s="6"/>
      <c r="H2" s="6"/>
      <c r="I2" s="6"/>
      <c r="J2" s="6"/>
    </row>
    <row r="3" spans="1:10" ht="18" customHeight="1"/>
    <row r="4" spans="1:10" ht="18" customHeight="1">
      <c r="A4" s="1" t="s">
        <v>264</v>
      </c>
      <c r="B4" s="1" t="s">
        <v>140</v>
      </c>
      <c r="C4" s="1" t="s">
        <v>66</v>
      </c>
      <c r="D4" s="1" t="s">
        <v>167</v>
      </c>
      <c r="E4" s="1" t="s">
        <v>265</v>
      </c>
      <c r="F4" s="1" t="s">
        <v>266</v>
      </c>
      <c r="G4" s="1" t="s">
        <v>267</v>
      </c>
      <c r="H4" s="1" t="s">
        <v>268</v>
      </c>
      <c r="I4" s="1" t="s">
        <v>64</v>
      </c>
      <c r="J4" s="1" t="s">
        <v>65</v>
      </c>
    </row>
    <row r="5" spans="1:10" ht="18" customHeight="1">
      <c r="A5" t="s">
        <v>269</v>
      </c>
      <c r="B5" t="s">
        <v>148</v>
      </c>
      <c r="C5" t="s">
        <v>67</v>
      </c>
      <c r="D5" t="s">
        <v>72</v>
      </c>
      <c r="E5" t="s">
        <v>270</v>
      </c>
      <c r="F5">
        <v>4500</v>
      </c>
      <c r="G5" t="s">
        <v>151</v>
      </c>
      <c r="H5" t="s">
        <v>271</v>
      </c>
      <c r="I5" t="s">
        <v>69</v>
      </c>
      <c r="J5" t="s">
        <v>272</v>
      </c>
    </row>
    <row r="6" spans="1:10" ht="18" customHeight="1">
      <c r="A6" t="s">
        <v>273</v>
      </c>
      <c r="B6" t="s">
        <v>153</v>
      </c>
      <c r="C6" t="s">
        <v>67</v>
      </c>
      <c r="D6" t="s">
        <v>72</v>
      </c>
      <c r="E6" t="s">
        <v>270</v>
      </c>
      <c r="F6">
        <v>5200</v>
      </c>
      <c r="G6" t="s">
        <v>151</v>
      </c>
      <c r="H6" t="s">
        <v>271</v>
      </c>
      <c r="I6" t="s">
        <v>69</v>
      </c>
      <c r="J6" t="s">
        <v>272</v>
      </c>
    </row>
    <row r="7" spans="1:10" ht="18" customHeight="1">
      <c r="A7" s="2" t="s">
        <v>274</v>
      </c>
      <c r="B7" s="2" t="s">
        <v>157</v>
      </c>
      <c r="C7" s="2" t="s">
        <v>67</v>
      </c>
      <c r="D7" s="2" t="s">
        <v>72</v>
      </c>
      <c r="E7" s="2" t="s">
        <v>270</v>
      </c>
      <c r="F7" s="2">
        <v>4800</v>
      </c>
      <c r="G7" s="2" t="s">
        <v>151</v>
      </c>
      <c r="H7" s="2" t="s">
        <v>271</v>
      </c>
      <c r="I7" s="2" t="s">
        <v>69</v>
      </c>
      <c r="J7" s="2" t="s">
        <v>272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"/>
  <sheetViews>
    <sheetView showGridLines="0" workbookViewId="0">
      <selection sqref="A1:K1"/>
    </sheetView>
  </sheetViews>
  <sheetFormatPr defaultRowHeight="14"/>
  <cols>
    <col min="1" max="10" width="16" customWidth="1"/>
    <col min="11" max="11" width="18" customWidth="1"/>
  </cols>
  <sheetData>
    <row r="1" spans="1:11" ht="28" customHeight="1">
      <c r="A1" s="5" t="s">
        <v>275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6" customHeight="1">
      <c r="A2" s="6" t="s">
        <v>276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/>
    <row r="4" spans="1:11" ht="18" customHeight="1">
      <c r="A4" s="1" t="s">
        <v>277</v>
      </c>
      <c r="B4" s="1" t="s">
        <v>180</v>
      </c>
      <c r="C4" s="1" t="s">
        <v>264</v>
      </c>
      <c r="D4" s="1" t="s">
        <v>278</v>
      </c>
      <c r="E4" s="1" t="s">
        <v>279</v>
      </c>
      <c r="F4" s="1" t="s">
        <v>280</v>
      </c>
      <c r="G4" s="1" t="s">
        <v>281</v>
      </c>
      <c r="H4" s="1" t="s">
        <v>282</v>
      </c>
      <c r="I4" s="1" t="s">
        <v>283</v>
      </c>
      <c r="J4" s="1" t="s">
        <v>284</v>
      </c>
      <c r="K4" s="1" t="s">
        <v>285</v>
      </c>
    </row>
    <row r="5" spans="1:11" ht="18" customHeight="1">
      <c r="A5" t="s">
        <v>286</v>
      </c>
      <c r="B5" t="s">
        <v>191</v>
      </c>
      <c r="C5" t="s">
        <v>269</v>
      </c>
      <c r="D5" t="s">
        <v>287</v>
      </c>
      <c r="E5">
        <v>4500</v>
      </c>
      <c r="F5">
        <v>4500</v>
      </c>
      <c r="G5">
        <v>0</v>
      </c>
      <c r="H5" t="s">
        <v>288</v>
      </c>
      <c r="I5" t="s">
        <v>289</v>
      </c>
      <c r="J5" t="s">
        <v>290</v>
      </c>
      <c r="K5" t="s">
        <v>240</v>
      </c>
    </row>
    <row r="6" spans="1:11" ht="18" customHeight="1">
      <c r="A6" t="s">
        <v>291</v>
      </c>
      <c r="B6" t="s">
        <v>204</v>
      </c>
      <c r="C6" t="s">
        <v>273</v>
      </c>
      <c r="D6" t="s">
        <v>292</v>
      </c>
      <c r="E6">
        <v>5200</v>
      </c>
      <c r="F6">
        <v>2600</v>
      </c>
      <c r="G6">
        <v>2600</v>
      </c>
      <c r="H6" t="s">
        <v>49</v>
      </c>
      <c r="I6" t="s">
        <v>293</v>
      </c>
      <c r="J6" t="s">
        <v>294</v>
      </c>
      <c r="K6" t="s">
        <v>295</v>
      </c>
    </row>
    <row r="7" spans="1:11" ht="18" customHeight="1">
      <c r="A7" s="2" t="s">
        <v>296</v>
      </c>
      <c r="B7" s="2" t="s">
        <v>216</v>
      </c>
      <c r="C7" s="2" t="s">
        <v>274</v>
      </c>
      <c r="D7" s="2" t="s">
        <v>297</v>
      </c>
      <c r="E7" s="2">
        <v>4800</v>
      </c>
      <c r="F7" s="2">
        <v>0</v>
      </c>
      <c r="G7" s="2">
        <v>4800</v>
      </c>
      <c r="H7" s="2"/>
      <c r="I7" s="2" t="s">
        <v>160</v>
      </c>
      <c r="J7" s="2"/>
      <c r="K7" s="2" t="s">
        <v>298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"/>
  <sheetViews>
    <sheetView showGridLines="0" workbookViewId="0">
      <selection sqref="A1:L1"/>
    </sheetView>
  </sheetViews>
  <sheetFormatPr defaultRowHeight="14"/>
  <cols>
    <col min="1" max="5" width="16" customWidth="1"/>
    <col min="6" max="7" width="18" customWidth="1"/>
    <col min="8" max="8" width="16" customWidth="1"/>
    <col min="9" max="9" width="34" customWidth="1"/>
    <col min="10" max="12" width="16" customWidth="1"/>
  </cols>
  <sheetData>
    <row r="1" spans="1:12" ht="28" customHeight="1">
      <c r="A1" s="5" t="s">
        <v>299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6" customHeight="1">
      <c r="A2" s="6" t="s">
        <v>300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2" customHeight="1">
      <c r="A3" s="7" t="s">
        <v>301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8" customHeight="1"/>
    <row r="5" spans="1:12" ht="18" customHeight="1">
      <c r="A5" s="1" t="s">
        <v>302</v>
      </c>
      <c r="B5" s="1" t="s">
        <v>180</v>
      </c>
      <c r="C5" s="1" t="s">
        <v>66</v>
      </c>
      <c r="D5" s="1" t="s">
        <v>167</v>
      </c>
      <c r="E5" s="1" t="s">
        <v>303</v>
      </c>
      <c r="F5" s="1" t="s">
        <v>304</v>
      </c>
      <c r="G5" s="1" t="s">
        <v>75</v>
      </c>
      <c r="H5" s="1" t="s">
        <v>305</v>
      </c>
      <c r="I5" s="1" t="s">
        <v>306</v>
      </c>
      <c r="J5" s="1" t="s">
        <v>307</v>
      </c>
      <c r="K5" s="1" t="s">
        <v>308</v>
      </c>
      <c r="L5" s="1" t="s">
        <v>309</v>
      </c>
    </row>
    <row r="6" spans="1:12" ht="18" customHeight="1">
      <c r="A6" t="s">
        <v>310</v>
      </c>
      <c r="B6" t="s">
        <v>191</v>
      </c>
      <c r="C6" t="s">
        <v>67</v>
      </c>
      <c r="D6" t="s">
        <v>72</v>
      </c>
      <c r="E6">
        <v>0</v>
      </c>
      <c r="F6" t="s">
        <v>311</v>
      </c>
      <c r="G6" t="s">
        <v>312</v>
      </c>
      <c r="H6" t="s">
        <v>151</v>
      </c>
      <c r="J6" t="s">
        <v>49</v>
      </c>
      <c r="L6" t="s">
        <v>48</v>
      </c>
    </row>
    <row r="7" spans="1:12" ht="18" customHeight="1">
      <c r="A7" t="s">
        <v>313</v>
      </c>
      <c r="B7" t="s">
        <v>204</v>
      </c>
      <c r="C7" t="s">
        <v>67</v>
      </c>
      <c r="D7" t="s">
        <v>72</v>
      </c>
      <c r="E7">
        <v>2600</v>
      </c>
      <c r="F7" t="s">
        <v>314</v>
      </c>
      <c r="G7" t="s">
        <v>77</v>
      </c>
      <c r="H7" t="s">
        <v>151</v>
      </c>
      <c r="I7" t="s">
        <v>315</v>
      </c>
      <c r="J7" t="s">
        <v>49</v>
      </c>
      <c r="L7" t="s">
        <v>48</v>
      </c>
    </row>
    <row r="8" spans="1:12" ht="18" customHeight="1">
      <c r="A8" s="2" t="s">
        <v>316</v>
      </c>
      <c r="B8" s="2" t="s">
        <v>216</v>
      </c>
      <c r="C8" s="2" t="s">
        <v>67</v>
      </c>
      <c r="D8" s="2" t="s">
        <v>72</v>
      </c>
      <c r="E8" s="2">
        <v>4800</v>
      </c>
      <c r="F8" s="2" t="s">
        <v>317</v>
      </c>
      <c r="G8" s="2" t="s">
        <v>77</v>
      </c>
      <c r="H8" s="2" t="s">
        <v>151</v>
      </c>
      <c r="I8" s="2" t="s">
        <v>315</v>
      </c>
      <c r="J8" s="2" t="s">
        <v>49</v>
      </c>
      <c r="K8" s="2"/>
      <c r="L8" s="2" t="s">
        <v>48</v>
      </c>
    </row>
  </sheetData>
  <mergeCells count="3">
    <mergeCell ref="A1:L1"/>
    <mergeCell ref="A2:L2"/>
    <mergeCell ref="A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"/>
  <sheetViews>
    <sheetView showGridLines="0" workbookViewId="0">
      <selection sqref="A1:J1"/>
    </sheetView>
  </sheetViews>
  <sheetFormatPr defaultRowHeight="14"/>
  <cols>
    <col min="1" max="2" width="16" customWidth="1"/>
    <col min="3" max="3" width="34" customWidth="1"/>
    <col min="4" max="4" width="16" customWidth="1"/>
    <col min="5" max="5" width="34" customWidth="1"/>
    <col min="6" max="10" width="16" customWidth="1"/>
  </cols>
  <sheetData>
    <row r="1" spans="1:10" ht="28" customHeight="1">
      <c r="A1" s="5" t="s">
        <v>318</v>
      </c>
      <c r="B1" s="5"/>
      <c r="C1" s="5"/>
      <c r="D1" s="5"/>
      <c r="E1" s="5"/>
      <c r="F1" s="5"/>
      <c r="G1" s="5"/>
      <c r="H1" s="5"/>
      <c r="I1" s="5"/>
      <c r="J1" s="5"/>
    </row>
    <row r="2" spans="1:10" ht="36" customHeight="1">
      <c r="A2" s="6" t="s">
        <v>319</v>
      </c>
      <c r="B2" s="6"/>
      <c r="C2" s="6"/>
      <c r="D2" s="6"/>
      <c r="E2" s="6"/>
      <c r="F2" s="6"/>
      <c r="G2" s="6"/>
      <c r="H2" s="6"/>
      <c r="I2" s="6"/>
      <c r="J2" s="6"/>
    </row>
    <row r="3" spans="1:10" ht="18" customHeight="1"/>
    <row r="4" spans="1:10" ht="18" customHeight="1">
      <c r="A4" s="1" t="s">
        <v>320</v>
      </c>
      <c r="B4" s="1" t="s">
        <v>164</v>
      </c>
      <c r="C4" s="1" t="s">
        <v>321</v>
      </c>
      <c r="D4" s="1" t="s">
        <v>322</v>
      </c>
      <c r="E4" s="1" t="s">
        <v>323</v>
      </c>
      <c r="F4" s="1" t="s">
        <v>324</v>
      </c>
      <c r="G4" s="1" t="s">
        <v>325</v>
      </c>
      <c r="H4" s="1" t="s">
        <v>326</v>
      </c>
      <c r="I4" s="1" t="s">
        <v>327</v>
      </c>
      <c r="J4" s="1" t="s">
        <v>31</v>
      </c>
    </row>
    <row r="5" spans="1:10" ht="18" customHeight="1">
      <c r="A5" t="s">
        <v>328</v>
      </c>
      <c r="B5" t="s">
        <v>172</v>
      </c>
      <c r="C5" t="s">
        <v>329</v>
      </c>
      <c r="D5" t="s">
        <v>330</v>
      </c>
      <c r="E5" t="s">
        <v>331</v>
      </c>
      <c r="F5" t="s">
        <v>332</v>
      </c>
      <c r="G5" t="s">
        <v>42</v>
      </c>
      <c r="H5" t="s">
        <v>333</v>
      </c>
      <c r="I5" t="s">
        <v>151</v>
      </c>
      <c r="J5" t="s">
        <v>125</v>
      </c>
    </row>
    <row r="6" spans="1:10" ht="18" customHeight="1">
      <c r="A6" t="s">
        <v>334</v>
      </c>
      <c r="B6" t="s">
        <v>174</v>
      </c>
      <c r="C6" t="s">
        <v>335</v>
      </c>
      <c r="D6" t="s">
        <v>336</v>
      </c>
      <c r="E6" t="s">
        <v>337</v>
      </c>
      <c r="F6" t="s">
        <v>338</v>
      </c>
      <c r="G6" t="s">
        <v>42</v>
      </c>
      <c r="H6" t="s">
        <v>333</v>
      </c>
      <c r="I6" t="s">
        <v>151</v>
      </c>
      <c r="J6" t="s">
        <v>125</v>
      </c>
    </row>
    <row r="7" spans="1:10" ht="18" customHeight="1">
      <c r="A7" s="2" t="s">
        <v>339</v>
      </c>
      <c r="B7" s="2" t="s">
        <v>176</v>
      </c>
      <c r="C7" s="2" t="s">
        <v>340</v>
      </c>
      <c r="D7" s="2" t="s">
        <v>341</v>
      </c>
      <c r="E7" s="2" t="s">
        <v>342</v>
      </c>
      <c r="F7" s="2" t="s">
        <v>343</v>
      </c>
      <c r="G7" s="2" t="s">
        <v>55</v>
      </c>
      <c r="H7" s="2" t="s">
        <v>344</v>
      </c>
      <c r="I7" s="2" t="s">
        <v>345</v>
      </c>
      <c r="J7" s="2" t="s">
        <v>125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"/>
  <sheetViews>
    <sheetView showGridLines="0" workbookViewId="0">
      <selection sqref="A1:J1"/>
    </sheetView>
  </sheetViews>
  <sheetFormatPr defaultRowHeight="14"/>
  <cols>
    <col min="1" max="2" width="16" customWidth="1"/>
    <col min="3" max="4" width="34" customWidth="1"/>
    <col min="5" max="9" width="16" customWidth="1"/>
    <col min="10" max="10" width="18" customWidth="1"/>
  </cols>
  <sheetData>
    <row r="1" spans="1:10" ht="28" customHeight="1">
      <c r="A1" s="5" t="s">
        <v>346</v>
      </c>
      <c r="B1" s="5"/>
      <c r="C1" s="5"/>
      <c r="D1" s="5"/>
      <c r="E1" s="5"/>
      <c r="F1" s="5"/>
      <c r="G1" s="5"/>
      <c r="H1" s="5"/>
      <c r="I1" s="5"/>
      <c r="J1" s="5"/>
    </row>
    <row r="2" spans="1:10" ht="36" customHeight="1">
      <c r="A2" s="6" t="s">
        <v>347</v>
      </c>
      <c r="B2" s="6"/>
      <c r="C2" s="6"/>
      <c r="D2" s="6"/>
      <c r="E2" s="6"/>
      <c r="F2" s="6"/>
      <c r="G2" s="6"/>
      <c r="H2" s="6"/>
      <c r="I2" s="6"/>
      <c r="J2" s="6"/>
    </row>
    <row r="3" spans="1:10" ht="18" customHeight="1"/>
    <row r="4" spans="1:10" ht="18" customHeight="1">
      <c r="A4" s="1" t="s">
        <v>348</v>
      </c>
      <c r="B4" s="1" t="s">
        <v>164</v>
      </c>
      <c r="C4" s="1" t="s">
        <v>349</v>
      </c>
      <c r="D4" s="1" t="s">
        <v>350</v>
      </c>
      <c r="E4" s="1" t="s">
        <v>351</v>
      </c>
      <c r="F4" s="1" t="s">
        <v>268</v>
      </c>
      <c r="G4" s="1" t="s">
        <v>352</v>
      </c>
      <c r="H4" s="1" t="s">
        <v>353</v>
      </c>
      <c r="I4" s="1" t="s">
        <v>354</v>
      </c>
      <c r="J4" s="1" t="s">
        <v>64</v>
      </c>
    </row>
    <row r="5" spans="1:10" ht="18" customHeight="1">
      <c r="A5" t="s">
        <v>355</v>
      </c>
      <c r="B5" t="s">
        <v>172</v>
      </c>
      <c r="C5" t="s">
        <v>356</v>
      </c>
      <c r="D5" t="s">
        <v>357</v>
      </c>
      <c r="E5" t="s">
        <v>358</v>
      </c>
      <c r="F5" t="s">
        <v>359</v>
      </c>
      <c r="G5">
        <v>100</v>
      </c>
      <c r="H5" t="s">
        <v>360</v>
      </c>
      <c r="I5" t="s">
        <v>345</v>
      </c>
      <c r="J5" t="s">
        <v>361</v>
      </c>
    </row>
    <row r="6" spans="1:10" ht="18" customHeight="1">
      <c r="A6" t="s">
        <v>362</v>
      </c>
      <c r="B6" t="s">
        <v>174</v>
      </c>
      <c r="C6" t="s">
        <v>363</v>
      </c>
      <c r="D6" t="s">
        <v>364</v>
      </c>
      <c r="E6" t="s">
        <v>365</v>
      </c>
      <c r="F6" t="s">
        <v>366</v>
      </c>
      <c r="G6">
        <v>50</v>
      </c>
      <c r="H6" t="s">
        <v>360</v>
      </c>
      <c r="I6" t="s">
        <v>151</v>
      </c>
      <c r="J6" t="s">
        <v>361</v>
      </c>
    </row>
    <row r="7" spans="1:10" ht="18" customHeight="1">
      <c r="A7" s="2" t="s">
        <v>367</v>
      </c>
      <c r="B7" s="2" t="s">
        <v>176</v>
      </c>
      <c r="C7" s="2" t="s">
        <v>368</v>
      </c>
      <c r="D7" s="2" t="s">
        <v>369</v>
      </c>
      <c r="E7" s="2" t="s">
        <v>370</v>
      </c>
      <c r="F7" s="2" t="s">
        <v>371</v>
      </c>
      <c r="G7" s="2">
        <v>75</v>
      </c>
      <c r="H7" s="2" t="s">
        <v>372</v>
      </c>
      <c r="I7" s="2" t="s">
        <v>345</v>
      </c>
      <c r="J7" s="2" t="s">
        <v>161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7"/>
  <sheetViews>
    <sheetView showGridLines="0" workbookViewId="0">
      <selection sqref="A1:M1"/>
    </sheetView>
  </sheetViews>
  <sheetFormatPr defaultRowHeight="14"/>
  <cols>
    <col min="1" max="12" width="16" customWidth="1"/>
    <col min="13" max="13" width="18" customWidth="1"/>
  </cols>
  <sheetData>
    <row r="1" spans="1:13" ht="28" customHeight="1">
      <c r="A1" s="5" t="s">
        <v>373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6" customHeight="1">
      <c r="A2" s="6" t="s">
        <v>374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 customHeight="1"/>
    <row r="4" spans="1:13" ht="18" customHeight="1">
      <c r="A4" s="1" t="s">
        <v>375</v>
      </c>
      <c r="B4" s="1" t="s">
        <v>164</v>
      </c>
      <c r="C4" s="1" t="s">
        <v>376</v>
      </c>
      <c r="D4" s="1" t="s">
        <v>377</v>
      </c>
      <c r="E4" s="1" t="s">
        <v>378</v>
      </c>
      <c r="F4" s="1" t="s">
        <v>379</v>
      </c>
      <c r="G4" s="1" t="s">
        <v>380</v>
      </c>
      <c r="H4" s="1" t="s">
        <v>381</v>
      </c>
      <c r="I4" s="1" t="s">
        <v>382</v>
      </c>
      <c r="J4" s="1" t="s">
        <v>383</v>
      </c>
      <c r="K4" s="1" t="s">
        <v>384</v>
      </c>
      <c r="L4" s="1" t="s">
        <v>385</v>
      </c>
      <c r="M4" s="1" t="s">
        <v>64</v>
      </c>
    </row>
    <row r="5" spans="1:13" ht="18" customHeight="1">
      <c r="A5" t="s">
        <v>386</v>
      </c>
      <c r="B5" t="s">
        <v>172</v>
      </c>
      <c r="C5" t="s">
        <v>387</v>
      </c>
      <c r="D5" t="s">
        <v>388</v>
      </c>
      <c r="E5" t="s">
        <v>389</v>
      </c>
      <c r="F5" t="s">
        <v>390</v>
      </c>
      <c r="G5" t="s">
        <v>391</v>
      </c>
      <c r="H5" t="s">
        <v>392</v>
      </c>
      <c r="I5" t="s">
        <v>393</v>
      </c>
      <c r="J5" t="s">
        <v>394</v>
      </c>
      <c r="K5">
        <v>2</v>
      </c>
      <c r="L5" t="s">
        <v>395</v>
      </c>
      <c r="M5" t="s">
        <v>43</v>
      </c>
    </row>
    <row r="6" spans="1:13" ht="18" customHeight="1">
      <c r="A6" t="s">
        <v>396</v>
      </c>
      <c r="B6" t="s">
        <v>174</v>
      </c>
      <c r="C6" t="s">
        <v>397</v>
      </c>
      <c r="D6" t="s">
        <v>388</v>
      </c>
      <c r="E6" t="s">
        <v>398</v>
      </c>
      <c r="F6" t="s">
        <v>399</v>
      </c>
      <c r="G6" t="s">
        <v>400</v>
      </c>
      <c r="H6" t="s">
        <v>401</v>
      </c>
      <c r="I6" t="s">
        <v>402</v>
      </c>
      <c r="J6" t="s">
        <v>394</v>
      </c>
      <c r="K6">
        <v>2</v>
      </c>
      <c r="L6" t="s">
        <v>395</v>
      </c>
      <c r="M6" t="s">
        <v>43</v>
      </c>
    </row>
    <row r="7" spans="1:13" ht="18" customHeight="1">
      <c r="A7" s="2" t="s">
        <v>403</v>
      </c>
      <c r="B7" s="2" t="s">
        <v>176</v>
      </c>
      <c r="C7" s="2" t="s">
        <v>404</v>
      </c>
      <c r="D7" s="2" t="s">
        <v>405</v>
      </c>
      <c r="E7" s="2" t="s">
        <v>406</v>
      </c>
      <c r="F7" s="2"/>
      <c r="G7" s="2"/>
      <c r="H7" s="2"/>
      <c r="I7" s="2"/>
      <c r="J7" s="2" t="s">
        <v>407</v>
      </c>
      <c r="K7" s="2">
        <v>10</v>
      </c>
      <c r="L7" s="2" t="s">
        <v>408</v>
      </c>
      <c r="M7" s="2" t="s">
        <v>56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"/>
  <sheetViews>
    <sheetView showGridLines="0" workbookViewId="0">
      <selection sqref="A1:L1"/>
    </sheetView>
  </sheetViews>
  <sheetFormatPr defaultRowHeight="14"/>
  <cols>
    <col min="1" max="4" width="16" customWidth="1"/>
    <col min="5" max="5" width="34" customWidth="1"/>
    <col min="6" max="10" width="16" customWidth="1"/>
    <col min="11" max="11" width="18" customWidth="1"/>
    <col min="12" max="12" width="16" customWidth="1"/>
  </cols>
  <sheetData>
    <row r="1" spans="1:12" ht="28" customHeight="1">
      <c r="A1" s="5" t="s">
        <v>409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6" customHeight="1">
      <c r="A2" s="6" t="s">
        <v>410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8" customHeight="1"/>
    <row r="4" spans="1:12" ht="18" customHeight="1">
      <c r="A4" s="1" t="s">
        <v>411</v>
      </c>
      <c r="B4" s="1" t="s">
        <v>164</v>
      </c>
      <c r="C4" s="1" t="s">
        <v>66</v>
      </c>
      <c r="D4" s="1" t="s">
        <v>167</v>
      </c>
      <c r="E4" s="1" t="s">
        <v>412</v>
      </c>
      <c r="F4" s="1" t="s">
        <v>376</v>
      </c>
      <c r="G4" s="1" t="s">
        <v>413</v>
      </c>
      <c r="H4" s="1" t="s">
        <v>414</v>
      </c>
      <c r="I4" s="1" t="s">
        <v>415</v>
      </c>
      <c r="J4" s="1" t="s">
        <v>416</v>
      </c>
      <c r="K4" s="1" t="s">
        <v>417</v>
      </c>
      <c r="L4" s="1" t="s">
        <v>361</v>
      </c>
    </row>
    <row r="5" spans="1:12" ht="18" customHeight="1">
      <c r="A5" t="s">
        <v>418</v>
      </c>
      <c r="B5" t="s">
        <v>172</v>
      </c>
      <c r="C5" t="s">
        <v>67</v>
      </c>
      <c r="D5" t="s">
        <v>72</v>
      </c>
      <c r="E5" t="s">
        <v>419</v>
      </c>
      <c r="F5" t="s">
        <v>387</v>
      </c>
      <c r="G5" t="s">
        <v>420</v>
      </c>
      <c r="H5" t="s">
        <v>421</v>
      </c>
      <c r="I5">
        <v>60</v>
      </c>
      <c r="J5">
        <v>1</v>
      </c>
      <c r="K5" t="s">
        <v>422</v>
      </c>
      <c r="L5" t="s">
        <v>151</v>
      </c>
    </row>
    <row r="6" spans="1:12" ht="18" customHeight="1">
      <c r="A6" t="s">
        <v>423</v>
      </c>
      <c r="B6" t="s">
        <v>174</v>
      </c>
      <c r="C6" t="s">
        <v>67</v>
      </c>
      <c r="D6" t="s">
        <v>72</v>
      </c>
      <c r="E6" t="s">
        <v>424</v>
      </c>
      <c r="F6" t="s">
        <v>397</v>
      </c>
      <c r="G6" t="s">
        <v>425</v>
      </c>
      <c r="H6" t="s">
        <v>426</v>
      </c>
      <c r="I6">
        <v>90</v>
      </c>
      <c r="J6">
        <v>1</v>
      </c>
      <c r="K6" t="s">
        <v>427</v>
      </c>
      <c r="L6" t="s">
        <v>151</v>
      </c>
    </row>
    <row r="7" spans="1:12" ht="18" customHeight="1">
      <c r="A7" s="2" t="s">
        <v>428</v>
      </c>
      <c r="B7" s="2" t="s">
        <v>176</v>
      </c>
      <c r="C7" s="2" t="s">
        <v>67</v>
      </c>
      <c r="D7" s="2" t="s">
        <v>72</v>
      </c>
      <c r="E7" s="2" t="s">
        <v>429</v>
      </c>
      <c r="F7" s="2" t="s">
        <v>404</v>
      </c>
      <c r="G7" s="2" t="s">
        <v>430</v>
      </c>
      <c r="H7" s="2" t="s">
        <v>431</v>
      </c>
      <c r="I7" s="2">
        <v>120</v>
      </c>
      <c r="J7" s="2">
        <v>1</v>
      </c>
      <c r="K7" s="2" t="s">
        <v>161</v>
      </c>
      <c r="L7" s="2" t="s">
        <v>345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"/>
  <sheetViews>
    <sheetView showGridLines="0" workbookViewId="0">
      <selection sqref="A1:L1"/>
    </sheetView>
  </sheetViews>
  <sheetFormatPr defaultRowHeight="14"/>
  <cols>
    <col min="1" max="9" width="16" customWidth="1"/>
    <col min="10" max="10" width="18" customWidth="1"/>
    <col min="11" max="12" width="16" customWidth="1"/>
  </cols>
  <sheetData>
    <row r="1" spans="1:12" ht="28" customHeight="1">
      <c r="A1" s="5" t="s">
        <v>432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6" customHeight="1">
      <c r="A2" s="6" t="s">
        <v>433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8" customHeight="1"/>
    <row r="4" spans="1:12" ht="18" customHeight="1">
      <c r="A4" s="1" t="s">
        <v>434</v>
      </c>
      <c r="B4" s="1" t="s">
        <v>180</v>
      </c>
      <c r="C4" s="1" t="s">
        <v>164</v>
      </c>
      <c r="D4" s="1" t="s">
        <v>66</v>
      </c>
      <c r="E4" s="1" t="s">
        <v>167</v>
      </c>
      <c r="F4" s="1" t="s">
        <v>435</v>
      </c>
      <c r="G4" s="1" t="s">
        <v>436</v>
      </c>
      <c r="H4" s="1" t="s">
        <v>437</v>
      </c>
      <c r="I4" s="1" t="s">
        <v>438</v>
      </c>
      <c r="J4" s="1" t="s">
        <v>439</v>
      </c>
      <c r="K4" s="1" t="s">
        <v>440</v>
      </c>
      <c r="L4" s="1" t="s">
        <v>441</v>
      </c>
    </row>
    <row r="5" spans="1:12" ht="18" customHeight="1">
      <c r="A5" t="s">
        <v>442</v>
      </c>
      <c r="B5" t="s">
        <v>191</v>
      </c>
      <c r="C5" t="s">
        <v>172</v>
      </c>
      <c r="D5" t="s">
        <v>67</v>
      </c>
      <c r="E5" t="s">
        <v>72</v>
      </c>
      <c r="F5">
        <v>35</v>
      </c>
      <c r="G5">
        <v>50</v>
      </c>
      <c r="H5">
        <v>85</v>
      </c>
      <c r="I5" t="s">
        <v>394</v>
      </c>
      <c r="J5" t="s">
        <v>43</v>
      </c>
      <c r="K5" t="s">
        <v>117</v>
      </c>
      <c r="L5" t="s">
        <v>151</v>
      </c>
    </row>
    <row r="6" spans="1:12" ht="18" customHeight="1">
      <c r="A6" t="s">
        <v>443</v>
      </c>
      <c r="B6" t="s">
        <v>204</v>
      </c>
      <c r="C6" t="s">
        <v>174</v>
      </c>
      <c r="D6" t="s">
        <v>67</v>
      </c>
      <c r="E6" t="s">
        <v>72</v>
      </c>
      <c r="F6">
        <v>28</v>
      </c>
      <c r="G6">
        <v>42</v>
      </c>
      <c r="H6">
        <v>70</v>
      </c>
      <c r="I6" t="s">
        <v>444</v>
      </c>
      <c r="J6" t="s">
        <v>43</v>
      </c>
      <c r="K6" t="s">
        <v>117</v>
      </c>
      <c r="L6" t="s">
        <v>151</v>
      </c>
    </row>
    <row r="7" spans="1:12" ht="18" customHeight="1">
      <c r="A7" s="2" t="s">
        <v>445</v>
      </c>
      <c r="B7" s="2" t="s">
        <v>216</v>
      </c>
      <c r="C7" s="2" t="s">
        <v>176</v>
      </c>
      <c r="D7" s="2" t="s">
        <v>67</v>
      </c>
      <c r="E7" s="2" t="s">
        <v>72</v>
      </c>
      <c r="F7" s="2">
        <v>20</v>
      </c>
      <c r="G7" s="2"/>
      <c r="H7" s="2">
        <v>20</v>
      </c>
      <c r="I7" s="2" t="s">
        <v>446</v>
      </c>
      <c r="J7" s="2" t="s">
        <v>160</v>
      </c>
      <c r="K7" s="2"/>
      <c r="L7" s="2" t="s">
        <v>345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7"/>
  <sheetViews>
    <sheetView showGridLines="0" workbookViewId="0">
      <selection sqref="A1:I1"/>
    </sheetView>
  </sheetViews>
  <sheetFormatPr defaultRowHeight="14"/>
  <cols>
    <col min="1" max="5" width="16" customWidth="1"/>
    <col min="6" max="6" width="18" customWidth="1"/>
    <col min="7" max="9" width="16" customWidth="1"/>
  </cols>
  <sheetData>
    <row r="1" spans="1:9" ht="28" customHeight="1">
      <c r="A1" s="5" t="s">
        <v>447</v>
      </c>
      <c r="B1" s="5"/>
      <c r="C1" s="5"/>
      <c r="D1" s="5"/>
      <c r="E1" s="5"/>
      <c r="F1" s="5"/>
      <c r="G1" s="5"/>
      <c r="H1" s="5"/>
      <c r="I1" s="5"/>
    </row>
    <row r="2" spans="1:9" ht="36" customHeight="1">
      <c r="A2" s="6" t="s">
        <v>448</v>
      </c>
      <c r="B2" s="6"/>
      <c r="C2" s="6"/>
      <c r="D2" s="6"/>
      <c r="E2" s="6"/>
      <c r="F2" s="6"/>
      <c r="G2" s="6"/>
      <c r="H2" s="6"/>
      <c r="I2" s="6"/>
    </row>
    <row r="3" spans="1:9" ht="18" customHeight="1"/>
    <row r="4" spans="1:9" ht="18" customHeight="1">
      <c r="A4" s="1" t="s">
        <v>449</v>
      </c>
      <c r="B4" s="1" t="s">
        <v>180</v>
      </c>
      <c r="C4" s="1" t="s">
        <v>164</v>
      </c>
      <c r="D4" s="1" t="s">
        <v>450</v>
      </c>
      <c r="E4" s="1" t="s">
        <v>451</v>
      </c>
      <c r="F4" s="1" t="s">
        <v>452</v>
      </c>
      <c r="G4" s="1" t="s">
        <v>453</v>
      </c>
      <c r="H4" s="1" t="s">
        <v>454</v>
      </c>
      <c r="I4" s="1" t="s">
        <v>37</v>
      </c>
    </row>
    <row r="5" spans="1:9" ht="18" customHeight="1">
      <c r="A5" t="s">
        <v>455</v>
      </c>
      <c r="B5" t="s">
        <v>191</v>
      </c>
      <c r="C5" t="s">
        <v>172</v>
      </c>
      <c r="D5" t="s">
        <v>456</v>
      </c>
      <c r="E5" t="s">
        <v>457</v>
      </c>
      <c r="F5" t="s">
        <v>458</v>
      </c>
      <c r="G5" t="s">
        <v>125</v>
      </c>
      <c r="H5" t="s">
        <v>459</v>
      </c>
    </row>
    <row r="6" spans="1:9" ht="18" customHeight="1">
      <c r="A6" t="s">
        <v>460</v>
      </c>
      <c r="B6" t="s">
        <v>204</v>
      </c>
      <c r="C6" t="s">
        <v>174</v>
      </c>
      <c r="D6" t="s">
        <v>456</v>
      </c>
      <c r="E6" t="s">
        <v>457</v>
      </c>
      <c r="F6" t="s">
        <v>461</v>
      </c>
      <c r="G6" t="s">
        <v>125</v>
      </c>
      <c r="H6" t="s">
        <v>462</v>
      </c>
      <c r="I6" t="s">
        <v>463</v>
      </c>
    </row>
    <row r="7" spans="1:9" ht="18" customHeight="1">
      <c r="A7" s="2" t="s">
        <v>464</v>
      </c>
      <c r="B7" s="2" t="s">
        <v>216</v>
      </c>
      <c r="C7" s="2" t="s">
        <v>176</v>
      </c>
      <c r="D7" s="2" t="s">
        <v>456</v>
      </c>
      <c r="E7" s="2" t="s">
        <v>465</v>
      </c>
      <c r="F7" s="2" t="s">
        <v>466</v>
      </c>
      <c r="G7" s="2" t="s">
        <v>125</v>
      </c>
      <c r="H7" s="2" t="s">
        <v>467</v>
      </c>
      <c r="I7" s="2" t="s">
        <v>468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7"/>
  <sheetViews>
    <sheetView showGridLines="0" workbookViewId="0">
      <selection sqref="A1:O1"/>
    </sheetView>
  </sheetViews>
  <sheetFormatPr defaultRowHeight="14"/>
  <cols>
    <col min="1" max="3" width="16" customWidth="1"/>
    <col min="4" max="4" width="34" customWidth="1"/>
    <col min="5" max="14" width="16" customWidth="1"/>
    <col min="15" max="15" width="18" customWidth="1"/>
  </cols>
  <sheetData>
    <row r="1" spans="1:15" ht="28" customHeight="1">
      <c r="A1" s="5" t="s">
        <v>469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36" customHeight="1">
      <c r="A2" s="6" t="s">
        <v>470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8" customHeight="1"/>
    <row r="4" spans="1:15" ht="18" customHeight="1">
      <c r="A4" s="1" t="s">
        <v>471</v>
      </c>
      <c r="B4" s="1" t="s">
        <v>472</v>
      </c>
      <c r="C4" s="1" t="s">
        <v>473</v>
      </c>
      <c r="D4" s="1" t="s">
        <v>474</v>
      </c>
      <c r="E4" s="1" t="s">
        <v>475</v>
      </c>
      <c r="F4" s="1" t="s">
        <v>476</v>
      </c>
      <c r="G4" s="1" t="s">
        <v>477</v>
      </c>
      <c r="H4" s="1" t="s">
        <v>478</v>
      </c>
      <c r="I4" s="1" t="s">
        <v>479</v>
      </c>
      <c r="J4" s="1" t="s">
        <v>480</v>
      </c>
      <c r="K4" s="1" t="s">
        <v>481</v>
      </c>
      <c r="L4" s="1" t="s">
        <v>268</v>
      </c>
      <c r="M4" s="1" t="s">
        <v>482</v>
      </c>
      <c r="N4" s="1" t="s">
        <v>483</v>
      </c>
      <c r="O4" s="1" t="s">
        <v>484</v>
      </c>
    </row>
    <row r="5" spans="1:15" ht="18" customHeight="1">
      <c r="A5" t="s">
        <v>485</v>
      </c>
      <c r="B5" t="s">
        <v>486</v>
      </c>
      <c r="C5" t="s">
        <v>487</v>
      </c>
      <c r="D5" t="s">
        <v>488</v>
      </c>
      <c r="E5" t="s">
        <v>489</v>
      </c>
      <c r="F5" t="s">
        <v>147</v>
      </c>
      <c r="G5">
        <v>5</v>
      </c>
      <c r="H5">
        <v>4</v>
      </c>
      <c r="I5" t="s">
        <v>490</v>
      </c>
      <c r="J5" t="s">
        <v>191</v>
      </c>
      <c r="K5" t="s">
        <v>491</v>
      </c>
      <c r="L5" t="s">
        <v>492</v>
      </c>
      <c r="N5">
        <v>0</v>
      </c>
      <c r="O5" t="s">
        <v>493</v>
      </c>
    </row>
    <row r="6" spans="1:15" ht="18" customHeight="1">
      <c r="A6" t="s">
        <v>494</v>
      </c>
      <c r="B6" t="s">
        <v>495</v>
      </c>
      <c r="C6" t="s">
        <v>496</v>
      </c>
      <c r="D6" t="s">
        <v>337</v>
      </c>
      <c r="E6" t="s">
        <v>497</v>
      </c>
      <c r="F6" t="s">
        <v>152</v>
      </c>
      <c r="G6">
        <v>3</v>
      </c>
      <c r="H6">
        <v>3</v>
      </c>
      <c r="I6" t="s">
        <v>490</v>
      </c>
      <c r="J6" t="s">
        <v>204</v>
      </c>
      <c r="N6" t="s">
        <v>498</v>
      </c>
      <c r="O6" t="s">
        <v>499</v>
      </c>
    </row>
    <row r="7" spans="1:15" ht="18" customHeight="1">
      <c r="A7" s="2" t="s">
        <v>500</v>
      </c>
      <c r="B7" s="2" t="s">
        <v>501</v>
      </c>
      <c r="C7" s="2" t="s">
        <v>502</v>
      </c>
      <c r="D7" s="2" t="s">
        <v>503</v>
      </c>
      <c r="E7" s="2" t="s">
        <v>504</v>
      </c>
      <c r="F7" s="2" t="s">
        <v>156</v>
      </c>
      <c r="G7" s="2">
        <v>2</v>
      </c>
      <c r="H7" s="2">
        <v>1</v>
      </c>
      <c r="I7" s="2" t="s">
        <v>505</v>
      </c>
      <c r="J7" s="2" t="s">
        <v>126</v>
      </c>
      <c r="K7" s="2" t="s">
        <v>506</v>
      </c>
      <c r="L7" s="2" t="s">
        <v>507</v>
      </c>
      <c r="M7" s="2"/>
      <c r="N7" s="2">
        <v>0</v>
      </c>
      <c r="O7" s="2" t="s">
        <v>493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7"/>
  <sheetViews>
    <sheetView showGridLines="0" workbookViewId="0">
      <selection sqref="A1:L1"/>
    </sheetView>
  </sheetViews>
  <sheetFormatPr defaultRowHeight="14"/>
  <cols>
    <col min="1" max="11" width="16" customWidth="1"/>
    <col min="12" max="12" width="18" customWidth="1"/>
  </cols>
  <sheetData>
    <row r="1" spans="1:12" ht="28" customHeight="1">
      <c r="A1" s="5" t="s">
        <v>508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6" customHeight="1">
      <c r="A2" s="6" t="s">
        <v>509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8" customHeight="1"/>
    <row r="4" spans="1:12" ht="18" customHeight="1">
      <c r="A4" s="1" t="s">
        <v>510</v>
      </c>
      <c r="B4" s="1" t="s">
        <v>140</v>
      </c>
      <c r="C4" s="1" t="s">
        <v>166</v>
      </c>
      <c r="D4" s="1" t="s">
        <v>167</v>
      </c>
      <c r="E4" s="1" t="s">
        <v>164</v>
      </c>
      <c r="F4" s="1" t="s">
        <v>511</v>
      </c>
      <c r="G4" s="1" t="s">
        <v>512</v>
      </c>
      <c r="H4" s="1" t="s">
        <v>513</v>
      </c>
      <c r="I4" s="1" t="s">
        <v>514</v>
      </c>
      <c r="J4" s="1" t="s">
        <v>169</v>
      </c>
      <c r="K4" s="1" t="s">
        <v>515</v>
      </c>
      <c r="L4" s="1" t="s">
        <v>64</v>
      </c>
    </row>
    <row r="5" spans="1:12" ht="18" customHeight="1">
      <c r="A5" t="s">
        <v>516</v>
      </c>
      <c r="B5" t="s">
        <v>148</v>
      </c>
      <c r="C5">
        <v>1</v>
      </c>
      <c r="D5" t="s">
        <v>72</v>
      </c>
      <c r="E5" t="s">
        <v>172</v>
      </c>
      <c r="F5" t="s">
        <v>517</v>
      </c>
      <c r="G5" t="s">
        <v>518</v>
      </c>
      <c r="H5" t="s">
        <v>519</v>
      </c>
      <c r="I5" t="s">
        <v>520</v>
      </c>
      <c r="J5" t="s">
        <v>125</v>
      </c>
      <c r="K5" t="s">
        <v>521</v>
      </c>
      <c r="L5" t="s">
        <v>69</v>
      </c>
    </row>
    <row r="6" spans="1:12" ht="18" customHeight="1">
      <c r="A6" t="s">
        <v>522</v>
      </c>
      <c r="B6" t="s">
        <v>153</v>
      </c>
      <c r="C6">
        <v>1</v>
      </c>
      <c r="D6" t="s">
        <v>72</v>
      </c>
      <c r="E6" t="s">
        <v>174</v>
      </c>
      <c r="F6" t="s">
        <v>523</v>
      </c>
      <c r="G6" t="s">
        <v>519</v>
      </c>
      <c r="H6" t="s">
        <v>524</v>
      </c>
      <c r="I6" t="s">
        <v>525</v>
      </c>
      <c r="J6" t="s">
        <v>125</v>
      </c>
      <c r="K6" t="s">
        <v>521</v>
      </c>
      <c r="L6" t="s">
        <v>69</v>
      </c>
    </row>
    <row r="7" spans="1:12" ht="18" customHeight="1">
      <c r="A7" s="2" t="s">
        <v>526</v>
      </c>
      <c r="B7" s="2" t="s">
        <v>157</v>
      </c>
      <c r="C7" s="2">
        <v>1</v>
      </c>
      <c r="D7" s="2" t="s">
        <v>72</v>
      </c>
      <c r="E7" s="2" t="s">
        <v>176</v>
      </c>
      <c r="F7" s="2" t="s">
        <v>527</v>
      </c>
      <c r="G7" s="2" t="s">
        <v>528</v>
      </c>
      <c r="H7" s="2" t="s">
        <v>529</v>
      </c>
      <c r="I7" s="2" t="s">
        <v>530</v>
      </c>
      <c r="J7" s="2" t="s">
        <v>125</v>
      </c>
      <c r="K7" s="2" t="s">
        <v>521</v>
      </c>
      <c r="L7" s="2" t="s">
        <v>161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7"/>
  <sheetViews>
    <sheetView showGridLines="0" workbookViewId="0">
      <selection sqref="A1:K1"/>
    </sheetView>
  </sheetViews>
  <sheetFormatPr defaultRowHeight="14"/>
  <cols>
    <col min="1" max="4" width="16" customWidth="1"/>
    <col min="5" max="6" width="34" customWidth="1"/>
    <col min="7" max="9" width="16" customWidth="1"/>
    <col min="10" max="10" width="24" customWidth="1"/>
    <col min="11" max="11" width="18" customWidth="1"/>
  </cols>
  <sheetData>
    <row r="1" spans="1:11" ht="28" customHeight="1">
      <c r="A1" s="5" t="s">
        <v>531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6" customHeight="1">
      <c r="A2" s="6" t="s">
        <v>532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/>
    <row r="4" spans="1:11" ht="18" customHeight="1">
      <c r="A4" s="1" t="s">
        <v>533</v>
      </c>
      <c r="B4" s="1" t="s">
        <v>534</v>
      </c>
      <c r="C4" s="1" t="s">
        <v>140</v>
      </c>
      <c r="D4" s="1" t="s">
        <v>164</v>
      </c>
      <c r="E4" s="1" t="s">
        <v>535</v>
      </c>
      <c r="F4" s="1" t="s">
        <v>536</v>
      </c>
      <c r="G4" s="1" t="s">
        <v>537</v>
      </c>
      <c r="H4" s="1" t="s">
        <v>538</v>
      </c>
      <c r="I4" s="1" t="s">
        <v>539</v>
      </c>
      <c r="J4" s="1" t="s">
        <v>540</v>
      </c>
      <c r="K4" s="1" t="s">
        <v>64</v>
      </c>
    </row>
    <row r="5" spans="1:11" ht="18" customHeight="1">
      <c r="A5" t="s">
        <v>541</v>
      </c>
      <c r="B5" t="s">
        <v>542</v>
      </c>
      <c r="E5" t="s">
        <v>543</v>
      </c>
      <c r="F5" t="s">
        <v>544</v>
      </c>
      <c r="G5" t="s">
        <v>545</v>
      </c>
      <c r="H5" t="s">
        <v>42</v>
      </c>
      <c r="I5" t="s">
        <v>546</v>
      </c>
      <c r="J5" t="s">
        <v>151</v>
      </c>
      <c r="K5" t="s">
        <v>361</v>
      </c>
    </row>
    <row r="6" spans="1:11" ht="18" customHeight="1">
      <c r="A6" t="s">
        <v>547</v>
      </c>
      <c r="B6" t="s">
        <v>548</v>
      </c>
      <c r="E6" t="s">
        <v>549</v>
      </c>
      <c r="F6" t="s">
        <v>550</v>
      </c>
      <c r="G6" t="s">
        <v>551</v>
      </c>
      <c r="H6" t="s">
        <v>49</v>
      </c>
      <c r="I6" t="s">
        <v>271</v>
      </c>
      <c r="J6" t="s">
        <v>345</v>
      </c>
      <c r="K6" t="s">
        <v>361</v>
      </c>
    </row>
    <row r="7" spans="1:11" ht="18" customHeight="1">
      <c r="A7" s="2" t="s">
        <v>552</v>
      </c>
      <c r="B7" s="2" t="s">
        <v>101</v>
      </c>
      <c r="C7" s="2"/>
      <c r="D7" s="2" t="s">
        <v>174</v>
      </c>
      <c r="E7" s="2" t="s">
        <v>553</v>
      </c>
      <c r="F7" s="2" t="s">
        <v>554</v>
      </c>
      <c r="G7" s="2" t="s">
        <v>551</v>
      </c>
      <c r="H7" s="2" t="s">
        <v>555</v>
      </c>
      <c r="I7" s="2" t="s">
        <v>371</v>
      </c>
      <c r="J7" s="2" t="s">
        <v>151</v>
      </c>
      <c r="K7" s="2" t="s">
        <v>161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7"/>
  <sheetViews>
    <sheetView showGridLines="0" workbookViewId="0">
      <selection sqref="A1:K1"/>
    </sheetView>
  </sheetViews>
  <sheetFormatPr defaultRowHeight="14"/>
  <cols>
    <col min="1" max="4" width="16" customWidth="1"/>
    <col min="5" max="5" width="34" customWidth="1"/>
    <col min="6" max="9" width="16" customWidth="1"/>
    <col min="10" max="10" width="18" customWidth="1"/>
    <col min="11" max="11" width="16" customWidth="1"/>
  </cols>
  <sheetData>
    <row r="1" spans="1:11" ht="28" customHeight="1">
      <c r="A1" s="5" t="s">
        <v>556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6" customHeight="1">
      <c r="A2" s="6" t="s">
        <v>557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/>
    <row r="4" spans="1:11" ht="18" customHeight="1">
      <c r="A4" s="1" t="s">
        <v>558</v>
      </c>
      <c r="B4" s="1" t="s">
        <v>559</v>
      </c>
      <c r="C4" s="1" t="s">
        <v>560</v>
      </c>
      <c r="D4" s="1" t="s">
        <v>561</v>
      </c>
      <c r="E4" s="1" t="s">
        <v>562</v>
      </c>
      <c r="F4" s="1" t="s">
        <v>563</v>
      </c>
      <c r="G4" s="1" t="s">
        <v>564</v>
      </c>
      <c r="H4" s="1" t="s">
        <v>539</v>
      </c>
      <c r="I4" s="1" t="s">
        <v>565</v>
      </c>
      <c r="J4" s="1" t="s">
        <v>566</v>
      </c>
      <c r="K4" s="1" t="s">
        <v>37</v>
      </c>
    </row>
    <row r="5" spans="1:11" ht="18" customHeight="1">
      <c r="A5" t="s">
        <v>567</v>
      </c>
      <c r="B5" t="s">
        <v>490</v>
      </c>
      <c r="C5" t="s">
        <v>191</v>
      </c>
      <c r="D5" t="s">
        <v>568</v>
      </c>
      <c r="E5" t="s">
        <v>569</v>
      </c>
      <c r="F5" t="s">
        <v>570</v>
      </c>
      <c r="G5" t="s">
        <v>571</v>
      </c>
      <c r="I5" t="s">
        <v>151</v>
      </c>
      <c r="J5" t="s">
        <v>572</v>
      </c>
      <c r="K5" t="s">
        <v>573</v>
      </c>
    </row>
    <row r="6" spans="1:11" ht="18" customHeight="1">
      <c r="A6" t="s">
        <v>574</v>
      </c>
      <c r="B6" t="s">
        <v>490</v>
      </c>
      <c r="C6" t="s">
        <v>204</v>
      </c>
      <c r="D6" t="s">
        <v>575</v>
      </c>
      <c r="E6" t="s">
        <v>576</v>
      </c>
      <c r="F6" t="s">
        <v>577</v>
      </c>
      <c r="G6" t="s">
        <v>49</v>
      </c>
      <c r="I6" t="s">
        <v>151</v>
      </c>
      <c r="J6" t="s">
        <v>578</v>
      </c>
      <c r="K6" t="s">
        <v>579</v>
      </c>
    </row>
    <row r="7" spans="1:11" ht="18" customHeight="1">
      <c r="A7" s="2" t="s">
        <v>580</v>
      </c>
      <c r="B7" s="2" t="s">
        <v>505</v>
      </c>
      <c r="C7" s="2" t="s">
        <v>126</v>
      </c>
      <c r="D7" s="2" t="s">
        <v>581</v>
      </c>
      <c r="E7" s="2" t="s">
        <v>582</v>
      </c>
      <c r="F7" s="2" t="s">
        <v>583</v>
      </c>
      <c r="G7" s="2" t="s">
        <v>42</v>
      </c>
      <c r="H7" s="2"/>
      <c r="I7" s="2" t="s">
        <v>160</v>
      </c>
      <c r="J7" s="2" t="s">
        <v>584</v>
      </c>
      <c r="K7" s="2" t="s">
        <v>585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7"/>
  <sheetViews>
    <sheetView showGridLines="0" workbookViewId="0">
      <selection sqref="A1:I1"/>
    </sheetView>
  </sheetViews>
  <sheetFormatPr defaultRowHeight="14"/>
  <cols>
    <col min="1" max="2" width="16" customWidth="1"/>
    <col min="3" max="3" width="34" customWidth="1"/>
    <col min="4" max="4" width="16" customWidth="1"/>
    <col min="5" max="5" width="34" customWidth="1"/>
    <col min="6" max="6" width="18" customWidth="1"/>
    <col min="7" max="7" width="16" customWidth="1"/>
    <col min="8" max="8" width="18" customWidth="1"/>
    <col min="9" max="9" width="16" customWidth="1"/>
  </cols>
  <sheetData>
    <row r="1" spans="1:9" ht="28" customHeight="1">
      <c r="A1" s="5" t="s">
        <v>586</v>
      </c>
      <c r="B1" s="5"/>
      <c r="C1" s="5"/>
      <c r="D1" s="5"/>
      <c r="E1" s="5"/>
      <c r="F1" s="5"/>
      <c r="G1" s="5"/>
      <c r="H1" s="5"/>
      <c r="I1" s="5"/>
    </row>
    <row r="2" spans="1:9" ht="36" customHeight="1">
      <c r="A2" s="6" t="s">
        <v>587</v>
      </c>
      <c r="B2" s="6"/>
      <c r="C2" s="6"/>
      <c r="D2" s="6"/>
      <c r="E2" s="6"/>
      <c r="F2" s="6"/>
      <c r="G2" s="6"/>
      <c r="H2" s="6"/>
      <c r="I2" s="6"/>
    </row>
    <row r="3" spans="1:9" ht="18" customHeight="1"/>
    <row r="4" spans="1:9" ht="18" customHeight="1">
      <c r="A4" s="1" t="s">
        <v>588</v>
      </c>
      <c r="B4" s="1" t="s">
        <v>589</v>
      </c>
      <c r="C4" s="1" t="s">
        <v>590</v>
      </c>
      <c r="D4" s="1" t="s">
        <v>591</v>
      </c>
      <c r="E4" s="1" t="s">
        <v>592</v>
      </c>
      <c r="F4" s="1" t="s">
        <v>593</v>
      </c>
      <c r="G4" s="1" t="s">
        <v>594</v>
      </c>
      <c r="H4" s="1" t="s">
        <v>595</v>
      </c>
      <c r="I4" s="1" t="s">
        <v>596</v>
      </c>
    </row>
    <row r="5" spans="1:9" ht="18" customHeight="1">
      <c r="A5" t="s">
        <v>597</v>
      </c>
      <c r="B5" t="s">
        <v>598</v>
      </c>
      <c r="C5" t="s">
        <v>599</v>
      </c>
      <c r="D5" t="s">
        <v>40</v>
      </c>
      <c r="E5" t="s">
        <v>600</v>
      </c>
      <c r="F5" t="s">
        <v>601</v>
      </c>
      <c r="G5" t="s">
        <v>602</v>
      </c>
      <c r="H5" t="s">
        <v>603</v>
      </c>
      <c r="I5" t="s">
        <v>604</v>
      </c>
    </row>
    <row r="6" spans="1:9" ht="18" customHeight="1">
      <c r="A6" t="s">
        <v>605</v>
      </c>
      <c r="B6" t="s">
        <v>606</v>
      </c>
      <c r="C6" t="s">
        <v>607</v>
      </c>
      <c r="D6" t="s">
        <v>608</v>
      </c>
      <c r="E6" t="s">
        <v>609</v>
      </c>
      <c r="F6" t="s">
        <v>610</v>
      </c>
      <c r="G6" t="s">
        <v>611</v>
      </c>
      <c r="H6" t="s">
        <v>603</v>
      </c>
      <c r="I6" t="s">
        <v>612</v>
      </c>
    </row>
    <row r="7" spans="1:9" ht="18" customHeight="1">
      <c r="A7" s="2" t="s">
        <v>613</v>
      </c>
      <c r="B7" s="2" t="s">
        <v>614</v>
      </c>
      <c r="C7" s="2" t="s">
        <v>615</v>
      </c>
      <c r="D7" s="2" t="s">
        <v>616</v>
      </c>
      <c r="E7" s="2" t="s">
        <v>617</v>
      </c>
      <c r="F7" s="2" t="s">
        <v>618</v>
      </c>
      <c r="G7" s="2" t="s">
        <v>619</v>
      </c>
      <c r="H7" s="2" t="s">
        <v>620</v>
      </c>
      <c r="I7" s="2" t="s">
        <v>621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8"/>
  <sheetViews>
    <sheetView showGridLines="0" workbookViewId="0">
      <selection sqref="A1:F1"/>
    </sheetView>
  </sheetViews>
  <sheetFormatPr defaultRowHeight="14"/>
  <cols>
    <col min="1" max="1" width="26" customWidth="1"/>
    <col min="2" max="2" width="24" customWidth="1"/>
    <col min="3" max="3" width="38" customWidth="1"/>
    <col min="4" max="4" width="18" customWidth="1"/>
  </cols>
  <sheetData>
    <row r="1" spans="1:6" ht="28" customHeight="1">
      <c r="A1" s="5" t="s">
        <v>622</v>
      </c>
      <c r="B1" s="5"/>
      <c r="C1" s="5"/>
      <c r="D1" s="5"/>
      <c r="E1" s="5"/>
      <c r="F1" s="5"/>
    </row>
    <row r="2" spans="1:6" ht="36" customHeight="1">
      <c r="A2" s="6" t="s">
        <v>623</v>
      </c>
      <c r="B2" s="6"/>
      <c r="C2" s="6"/>
      <c r="D2" s="6"/>
      <c r="E2" s="6"/>
      <c r="F2" s="6"/>
    </row>
    <row r="3" spans="1:6" ht="18" customHeight="1"/>
    <row r="4" spans="1:6" ht="18" customHeight="1">
      <c r="A4" s="1" t="s">
        <v>624</v>
      </c>
      <c r="B4" s="1" t="s">
        <v>625</v>
      </c>
      <c r="C4" s="1" t="s">
        <v>626</v>
      </c>
      <c r="D4" s="1" t="s">
        <v>64</v>
      </c>
    </row>
    <row r="5" spans="1:6" ht="18" customHeight="1">
      <c r="A5" t="s">
        <v>627</v>
      </c>
      <c r="B5">
        <f>COUNTA(Students_Core!A5:A1000)</f>
        <v>3</v>
      </c>
      <c r="C5" t="s">
        <v>628</v>
      </c>
      <c r="D5" t="s">
        <v>629</v>
      </c>
    </row>
    <row r="6" spans="1:6" ht="18" customHeight="1">
      <c r="A6" t="s">
        <v>630</v>
      </c>
      <c r="B6">
        <f>COUNTIF(Fee_Defaulters_LMS_Access!G5:G1000,"Blocked")</f>
        <v>2</v>
      </c>
      <c r="C6" t="s">
        <v>631</v>
      </c>
      <c r="D6" t="s">
        <v>632</v>
      </c>
    </row>
    <row r="7" spans="1:6" ht="18" customHeight="1">
      <c r="A7" t="s">
        <v>633</v>
      </c>
      <c r="B7">
        <f>COUNTIF(Results_Grades!J5:J1000,"Approved")</f>
        <v>2</v>
      </c>
      <c r="C7" t="s">
        <v>634</v>
      </c>
      <c r="D7" t="s">
        <v>632</v>
      </c>
    </row>
    <row r="8" spans="1:6" ht="18" customHeight="1">
      <c r="A8" s="2" t="s">
        <v>635</v>
      </c>
      <c r="B8" s="2">
        <f>COUNTIF(HEA_Compliance_Checklist!H5:H1000,"In Progress")</f>
        <v>1</v>
      </c>
      <c r="C8" s="2" t="s">
        <v>636</v>
      </c>
      <c r="D8" s="2" t="s">
        <v>632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README</vt:lpstr>
      <vt:lpstr>Import_Control</vt:lpstr>
      <vt:lpstr>Setup_Lists</vt:lpstr>
      <vt:lpstr>Roles_Permissions</vt:lpstr>
      <vt:lpstr>Users_Staff</vt:lpstr>
      <vt:lpstr>Departments_Programmes</vt:lpstr>
      <vt:lpstr>Courses_Subjects</vt:lpstr>
      <vt:lpstr>Students_Core</vt:lpstr>
      <vt:lpstr>Admissions</vt:lpstr>
      <vt:lpstr>Enrolments</vt:lpstr>
      <vt:lpstr>Fee_Structure</vt:lpstr>
      <vt:lpstr>Payments_Receipts</vt:lpstr>
      <vt:lpstr>Fee_Defaulters_LMS_Access</vt:lpstr>
      <vt:lpstr>LMS_Courses_Materials</vt:lpstr>
      <vt:lpstr>LMS_Assignments</vt:lpstr>
      <vt:lpstr>Online_Exam_Question_Bank</vt:lpstr>
      <vt:lpstr>Exam_Schedule</vt:lpstr>
      <vt:lpstr>Results_Grades</vt:lpstr>
      <vt:lpstr>Attendance</vt:lpstr>
      <vt:lpstr>Library_Books_Loans</vt:lpstr>
      <vt:lpstr>Timetable</vt:lpstr>
      <vt:lpstr>Notices_Notifications</vt:lpstr>
      <vt:lpstr>Documents_Certificates</vt:lpstr>
      <vt:lpstr>HEA_Compliance_Checklist</vt:lpstr>
      <vt:lpstr>Dashboard_Summary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mms.123</cp:lastModifiedBy>
  <dcterms:modified xsi:type="dcterms:W3CDTF">2026-04-29T11:08:58Z</dcterms:modified>
</cp:coreProperties>
</file>